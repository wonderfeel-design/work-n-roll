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Parcels_DUN" sheetId="2" state="visible" r:id="rId2"/>
    <sheet name="Field_Log" sheetId="3" state="visible" r:id="rId3"/>
    <sheet name="Corrections" sheetId="4" state="visible" r:id="rId4"/>
    <sheet name="Vocabulary" sheetId="5" state="visible" r:id="rId5"/>
    <sheet name="UI_Strings" sheetId="6" state="visible" r:id="rId6"/>
  </sheets>
  <definedNames>
    <definedName name="_xlnm._FilterDatabase" localSheetId="2" hidden="1">'Field_Log'!$A$1:$AH$11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\ hh:mm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8000"/>
      <sz val="10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2F5D3A"/>
        <bgColor rgb="FF333300"/>
      </patternFill>
    </fill>
    <fill>
      <patternFill patternType="solid">
        <fgColor rgb="FFFFF2B3"/>
        <bgColor rgb="FFFFFF9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/>
    </xf>
    <xf numFmtId="164" fontId="8" fillId="0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top"/>
    </xf>
    <xf numFmtId="0" fontId="10" fillId="0" borderId="1" applyAlignment="1" pivotButton="0" quotePrefix="0" xfId="0">
      <alignment horizontal="general" vertical="top"/>
    </xf>
    <xf numFmtId="2" fontId="8" fillId="0" borderId="1" applyAlignment="1" pivotButton="0" quotePrefix="0" xfId="0">
      <alignment horizontal="general" vertical="top"/>
    </xf>
    <xf numFmtId="2" fontId="9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/>
    </xf>
    <xf numFmtId="0" fontId="8" fillId="3" borderId="1" applyAlignment="1" pivotButton="0" quotePrefix="0" xfId="0">
      <alignment horizontal="general" vertical="top" wrapText="1"/>
    </xf>
    <xf numFmtId="165" fontId="8" fillId="3" borderId="1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/>
    </xf>
    <xf numFmtId="164" fontId="8" fillId="0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top"/>
    </xf>
    <xf numFmtId="0" fontId="10" fillId="0" borderId="1" applyAlignment="1" pivotButton="0" quotePrefix="0" xfId="0">
      <alignment horizontal="general" vertical="top"/>
    </xf>
    <xf numFmtId="2" fontId="8" fillId="0" borderId="1" applyAlignment="1" pivotButton="0" quotePrefix="0" xfId="0">
      <alignment horizontal="general" vertical="top"/>
    </xf>
    <xf numFmtId="2" fontId="9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/>
    </xf>
    <xf numFmtId="0" fontId="8" fillId="3" borderId="1" applyAlignment="1" pivotButton="0" quotePrefix="0" xfId="0">
      <alignment horizontal="general" vertical="top" wrapText="1"/>
    </xf>
    <xf numFmtId="165" fontId="8" fillId="3" borderId="1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2F5D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2B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B3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3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Unknown Author</author>
  </authors>
  <commentList>
    <comment ref="B1" authorId="0" shapeId="0">
      <text>
        <t>How farmers refer to this parcel out loud, in any of the 4 languages. The extractor uses this to map speech → parcel_alias.</t>
      </text>
    </comment>
    <comment ref="L1" authorId="0" shapeId="0">
      <text>
        <t>Format: prov-mun-agregat-zona-polígon-parcel·la-recinte (built by formula).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C1" authorId="0" shapeId="0">
      <text>
        <t>Fake Telegram chat ids for the sample. Column names match the Record schema in app/schemas.py so seed.py can load rows directly.</t>
      </text>
    </comment>
    <comment ref="E1" authorId="0" shapeId="0">
      <text>
        <t>Detected by Gemma from the audio (ISO 639-1: en, ru, ca, es).</t>
      </text>
    </comment>
    <comment ref="F1" authorId="0" shapeId="0">
      <text>
        <t>Language of the confirmation card + ElevenLabs voice. Default = detected lang.</t>
      </text>
    </comment>
    <comment ref="I1" authorId="0" shapeId="0">
      <text>
        <t>Crop declared in DUN for this parcel. Compare with crop_spoken: mismatch = judge flag (see R0007).</t>
      </text>
    </comment>
    <comment ref="M1" authorId="0" shapeId="0">
      <text>
        <t>Declaration fields (_ca / _en) come from Vocabulary lookups — deterministic, not LLM-translated.</t>
      </text>
    </comment>
    <comment ref="X1" authorId="0" shapeId="0">
      <text>
        <t>ROPO applicator card and ROMA equipment ID assumed required for phyto treatments in the CUE — verify.</t>
      </text>
    </comment>
    <comment ref="Z1" authorId="0" shapeId="0">
      <text>
        <t>Free text: translated by Gemma into Catalan and English. Treat as machine translation.</t>
      </text>
    </comment>
    <comment ref="AB1" authorId="0" shapeId="0">
      <text>
        <t>Farmer's exact words in the original language — audit trail, never edited.</t>
      </text>
    </comment>
    <comment ref="AC1" authorId="0" shapeId="0">
      <text>
        <t>Gemma's own extraction confidence (0–1). Different from judge_score, which comes from the validator.</t>
      </text>
    </comment>
    <comment ref="AE1" authorId="0" shapeId="0">
      <text>
        <t>Judge score 0–1. Demo threshold: ≥0.80 auto_approved, else needs_review. Assumption — tune on test data.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D1" authorId="0" shapeId="0">
      <text>
        <t>Catalan is the official declaration language (DUN). Draft terms — agronomist review needed.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0" customWidth="1" style="19" min="1" max="1"/>
  </cols>
  <sheetData>
    <row r="1" ht="15" customHeight="1" s="20">
      <c r="A1" s="21" t="inlineStr">
        <is>
          <t>SA.TECH Field Voice — sample tables (DUN parcels + multilingual voice field log)</t>
        </is>
      </c>
    </row>
    <row r="2" ht="15" customHeight="1" s="20">
      <c r="A2" s="22" t="inlineStr">
        <is>
          <t>All data is FICTIONAL sample data for the hackathon demo. SIGPAC codes, people and registration numbers are invented.</t>
        </is>
      </c>
    </row>
    <row r="3" ht="15" customHeight="1" s="20">
      <c r="A3" s="22" t="n"/>
    </row>
    <row r="4" ht="15" customHeight="1" s="20">
      <c r="A4" s="23" t="inlineStr">
        <is>
          <t>Tabs</t>
        </is>
      </c>
    </row>
    <row r="5" ht="15" customHeight="1" s="20">
      <c r="A5" s="22" t="inlineStr">
        <is>
          <t>Parcels_DUN — master list of parcels as declared in the annual DUN (SIGPAC-based). One row per SIGPAC recinte. Filled once per farm, not by voice.</t>
        </is>
      </c>
    </row>
    <row r="6" ht="23.85" customHeight="1" s="20">
      <c r="A6" s="22" t="inlineStr">
        <is>
          <t>Field_Log — one row per activity captured from a Telegram voice note. Declaration fields are stored in BOTH Catalan (_ca) and English (_en); the farmer's own words stay in transcript_original.</t>
        </is>
      </c>
    </row>
    <row r="7" ht="23.85" customHeight="1" s="20">
      <c r="A7" s="22" t="inlineStr">
        <is>
          <t>Vocabulary — controlled terms (activities, crops, pests) in EN / CA / ES / RU. Field_Log translates by lookup on the *_key columns, not by LLM, so declaration terms are deterministic.</t>
        </is>
      </c>
    </row>
    <row r="8" ht="23.85" customHeight="1" s="20">
      <c r="A8" s="22" t="inlineStr">
        <is>
          <t>UI_Strings — card labels and bot messages in EN / CA / ES / RU, used to reply in the farmer's language. Placeholders like {n}, {field} are filled in by code. No farmer-facing text is hardcoded in Python — add new keys here and re-seed.</t>
        </is>
      </c>
    </row>
    <row r="9" ht="23.85" customHeight="1" s="20">
      <c r="A9" s="22" t="inlineStr">
        <is>
          <t>Seeding: app/seed.py loads Parcels_DUN, Vocabulary and UI_Strings only. The Field_Log and Corrections rows in this workbook are format examples and are never imported; both tables start empty. Field_Log column names match the Record schema; lookup/formula columns (sigpac_ref, *_ca, *_en, dose_per_ha, reply_lang) are for humans and are skipped by the loader.</t>
        </is>
      </c>
    </row>
    <row r="10" ht="15" customHeight="1" s="20">
      <c r="A10" s="22" t="inlineStr">
        <is>
          <t>Corrections — every farmer edit and agronomist correction (before → after + reason). The last N rows become few-shot examples for the extractor and judge.</t>
        </is>
      </c>
    </row>
    <row r="11" ht="15" customHeight="1" s="20">
      <c r="A11" s="22" t="n"/>
    </row>
    <row r="12" ht="15" customHeight="1" s="20">
      <c r="A12" s="23" t="inlineStr">
        <is>
          <t>Language rules</t>
        </is>
      </c>
    </row>
    <row r="13" ht="15" customHeight="1" s="20">
      <c r="A13" s="22" t="inlineStr">
        <is>
          <t>Input: farmer may speak EN, RU, CA or ES. Gemma returns lang (ISO 639-1). The bot replies (card + voice) in that language: reply_lang = lang.</t>
        </is>
      </c>
    </row>
    <row r="14" ht="23.85" customHeight="1" s="20">
      <c r="A14" s="22" t="inlineStr">
        <is>
          <t>Declaration: controlled fields (crop, activity, target_pest) via Vocabulary lookup → _ca and _en. Free text (notes) translated by Gemma into notes_ca and notes_en.</t>
        </is>
      </c>
    </row>
    <row r="15" ht="15" customHeight="1" s="20">
      <c r="A15" s="22" t="inlineStr">
        <is>
          <t>Never translated: product commercial names, registration numbers, SIGPAC references, numbers and units.</t>
        </is>
      </c>
    </row>
    <row r="16" ht="15" customHeight="1" s="20">
      <c r="A16" s="22" t="inlineStr">
        <is>
          <t>If a term has no Vocabulary key → *_key = 'unknown', the free text goes to notes, and the judge flags the row for review.</t>
        </is>
      </c>
    </row>
    <row r="17" ht="15" customHeight="1" s="20">
      <c r="A17" s="22" t="n"/>
    </row>
    <row r="18" ht="15" customHeight="1" s="20">
      <c r="A18" s="23" t="inlineStr">
        <is>
          <t>How the tabs connect</t>
        </is>
      </c>
    </row>
    <row r="19" ht="23.85" customHeight="1" s="20">
      <c r="A19" s="22" t="inlineStr">
        <is>
          <t>The farmer says a spoken name ('parcel·la 3', 'третий участок'). The extractor maps it to parcel_alias (P1–P5) using Parcels_DUN.spoken_names. Field_Log then looks up sigpac_ref and the declared crop.</t>
        </is>
      </c>
    </row>
    <row r="20" ht="15" customHeight="1" s="20">
      <c r="A20" s="22" t="n"/>
    </row>
    <row r="21" ht="15" customHeight="1" s="20">
      <c r="A21" s="23" t="inlineStr">
        <is>
          <t>Colour legend</t>
        </is>
      </c>
    </row>
    <row r="22" ht="15" customHeight="1" s="20">
      <c r="A22" s="22" t="inlineStr">
        <is>
          <t>Blue text = values written by the bot (pipeline output)</t>
        </is>
      </c>
    </row>
    <row r="23" ht="15" customHeight="1" s="20">
      <c r="A23" s="22" t="inlineStr">
        <is>
          <t>Black text = formulas — do not overwrite</t>
        </is>
      </c>
    </row>
    <row r="24" ht="15" customHeight="1" s="20">
      <c r="A24" s="22" t="inlineStr">
        <is>
          <t>Green text = cross-tab lookups (Parcels_DUN, Vocabulary)</t>
        </is>
      </c>
    </row>
    <row r="25" ht="15" customHeight="1" s="20">
      <c r="A25" s="22" t="inlineStr">
        <is>
          <t>Yellow fill = cells the agronomist reviews or edits (status, corrections)</t>
        </is>
      </c>
    </row>
    <row r="26" ht="15" customHeight="1" s="20">
      <c r="A26" s="22" t="n"/>
    </row>
    <row r="27" ht="15" customHeight="1" s="20">
      <c r="A27" s="23" t="inlineStr">
        <is>
          <t>Status values</t>
        </is>
      </c>
    </row>
    <row r="28" ht="15" customHeight="1" s="20">
      <c r="A28" s="22" t="inlineStr">
        <is>
          <t>draft → farmer_confirmed → auto_approved | needs_review → validated | corrected — or discarded</t>
        </is>
      </c>
    </row>
    <row r="29" ht="15" customHeight="1" s="20">
      <c r="A29" s="22" t="n"/>
    </row>
    <row r="30" ht="15" customHeight="1" s="20">
      <c r="A30" s="23" t="inlineStr">
        <is>
          <t>Assumptions to verify (not 100% certain)</t>
        </is>
      </c>
    </row>
    <row r="31" ht="23.85" customHeight="1" s="20">
      <c r="A31" s="22" t="inlineStr">
        <is>
          <t>1. CUE minimum fields for phytosanitary treatments assumed: date, parcel/recinte, crop, target pest, product + registration number, dose, treated area, applicator (ROPO), equipment (ROMA). Check the official CUE/SIEX field list.</t>
        </is>
      </c>
    </row>
    <row r="32" ht="15" customHeight="1" s="20">
      <c r="A32" s="22" t="inlineStr">
        <is>
          <t>2. Judge auto-approve threshold 0.80 is a demo guess — tune on real test notes.</t>
        </is>
      </c>
    </row>
    <row r="33" ht="15" customHeight="1" s="20">
      <c r="A33" s="22" t="inlineStr">
        <is>
          <t>3. SIGPAC use codes used: FY (fruit), OV (olive), FS (nuts). Official DUN crop catalogue codes not included.</t>
        </is>
      </c>
    </row>
    <row r="34" ht="15" customHeight="1" s="20">
      <c r="A34" s="22" t="inlineStr">
        <is>
          <t>4. Catalan, Spanish and Russian terms in Vocabulary and UI_Strings are draft translations — have a native speaker / agronomist review before production.</t>
        </is>
      </c>
    </row>
    <row r="35" ht="15" customHeight="1" s="20">
      <c r="A35" s="22" t="n"/>
    </row>
    <row r="36" ht="15" customHeight="1" s="20">
      <c r="A36" s="23" t="inlineStr">
        <is>
          <t>Sources</t>
        </is>
      </c>
    </row>
    <row r="37" ht="15" customHeight="1" s="20">
      <c r="A37" s="22" t="inlineStr">
        <is>
          <t>DUN — Generalitat de Catalunya: https://tramits.gencat.cat/ca/tramits/tramits-temes/6497_Declaracio-unica-Agraria-DUN</t>
        </is>
      </c>
    </row>
    <row r="38" ht="15" customHeight="1" s="20">
      <c r="A38" s="22" t="inlineStr">
        <is>
          <t>CUE obligation (phyto digital from 1 Jan 2027) — Euskadi.eus: https://www.euskadi.eus/cuaderno-digital-explotacion-agricola/web01-tramite/es/</t>
        </is>
      </c>
    </row>
    <row r="39" ht="15" customHeight="1" s="20">
      <c r="A39" s="22" t="inlineStr">
        <is>
          <t>CUE scope — MAPA: https://www.mapa.gob.es/dam/mapa/contenido/reforma-de-la-pac/postura-espanola/informacion-sobre-cuaderno-digital.pdf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U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34" customWidth="1" style="19" min="2" max="2"/>
    <col width="9" customWidth="1" style="19" min="3" max="3"/>
    <col width="13" customWidth="1" style="19" min="4" max="4"/>
    <col width="8" customWidth="1" style="19" min="5" max="7"/>
    <col width="7" customWidth="1" style="19" min="8" max="8"/>
    <col width="8" customWidth="1" style="19" min="9" max="11"/>
    <col width="22" customWidth="1" style="19" min="12" max="12"/>
    <col width="9" customWidth="1" style="19" min="13" max="13"/>
    <col width="10" customWidth="1" style="19" min="14" max="14"/>
    <col width="12" customWidth="1" style="19" min="15" max="15"/>
    <col width="10" customWidth="1" style="19" min="16" max="16"/>
    <col width="12" customWidth="1" style="19" min="17" max="17"/>
    <col width="8" customWidth="1" style="19" min="18" max="18"/>
    <col width="10" customWidth="1" style="19" min="19" max="19"/>
    <col width="12" customWidth="1" style="19" min="20" max="20"/>
    <col width="10" customWidth="1" style="19" min="21" max="21"/>
  </cols>
  <sheetData>
    <row r="1" ht="30" customHeight="1" s="20">
      <c r="A1" s="24" t="inlineStr">
        <is>
          <t>parcel_alias</t>
        </is>
      </c>
      <c r="B1" s="24" t="inlineStr">
        <is>
          <t>spoken_names</t>
        </is>
      </c>
      <c r="C1" s="24" t="inlineStr">
        <is>
          <t>campaign</t>
        </is>
      </c>
      <c r="D1" s="24" t="inlineStr">
        <is>
          <t>explotacio_id</t>
        </is>
      </c>
      <c r="E1" s="24" t="inlineStr">
        <is>
          <t>sigpac_prov</t>
        </is>
      </c>
      <c r="F1" s="24" t="inlineStr">
        <is>
          <t>sigpac_mun</t>
        </is>
      </c>
      <c r="G1" s="24" t="inlineStr">
        <is>
          <t>sigpac_agregat</t>
        </is>
      </c>
      <c r="H1" s="24" t="inlineStr">
        <is>
          <t>sigpac_zona</t>
        </is>
      </c>
      <c r="I1" s="24" t="inlineStr">
        <is>
          <t>sigpac_poligon</t>
        </is>
      </c>
      <c r="J1" s="24" t="inlineStr">
        <is>
          <t>sigpac_parcela</t>
        </is>
      </c>
      <c r="K1" s="24" t="inlineStr">
        <is>
          <t>sigpac_recinte</t>
        </is>
      </c>
      <c r="L1" s="24" t="inlineStr">
        <is>
          <t>sigpac_ref</t>
        </is>
      </c>
      <c r="M1" s="24" t="inlineStr">
        <is>
          <t>sigpac_use</t>
        </is>
      </c>
      <c r="N1" s="24" t="inlineStr">
        <is>
          <t>crop_key</t>
        </is>
      </c>
      <c r="O1" s="24" t="inlineStr">
        <is>
          <t>crop_ca</t>
        </is>
      </c>
      <c r="P1" s="24" t="inlineStr">
        <is>
          <t>crop_en</t>
        </is>
      </c>
      <c r="Q1" s="24" t="inlineStr">
        <is>
          <t>variety</t>
        </is>
      </c>
      <c r="R1" s="24" t="inlineStr">
        <is>
          <t>area_ha</t>
        </is>
      </c>
      <c r="S1" s="24" t="inlineStr">
        <is>
          <t>irrigation</t>
        </is>
      </c>
      <c r="T1" s="24" t="inlineStr">
        <is>
          <t>tenure</t>
        </is>
      </c>
      <c r="U1" s="24" t="inlineStr">
        <is>
          <t>eco_scheme</t>
        </is>
      </c>
    </row>
    <row r="2" ht="15" customHeight="1" s="20">
      <c r="A2" s="25" t="inlineStr">
        <is>
          <t>P1</t>
        </is>
      </c>
      <c r="B2" s="25" t="inlineStr">
        <is>
          <t>parcel·la 1; el préssec; parcela uno; first parcel; первый участок</t>
        </is>
      </c>
      <c r="C2" s="25" t="inlineStr">
        <is>
          <t>2026</t>
        </is>
      </c>
      <c r="D2" s="25" t="inlineStr">
        <is>
          <t>EXP-25-0001</t>
        </is>
      </c>
      <c r="E2" s="25" t="n">
        <v>25</v>
      </c>
      <c r="F2" s="25" t="n">
        <v>120</v>
      </c>
      <c r="G2" s="25" t="n">
        <v>0</v>
      </c>
      <c r="H2" s="25" t="n">
        <v>0</v>
      </c>
      <c r="I2" s="25" t="n">
        <v>7</v>
      </c>
      <c r="J2" s="25" t="n">
        <v>45</v>
      </c>
      <c r="K2" s="25" t="n">
        <v>1</v>
      </c>
      <c r="L2" s="26">
        <f>E2&amp;"-"&amp;F2&amp;"-"&amp;G2&amp;"-"&amp;H2&amp;"-"&amp;I2&amp;"-"&amp;J2&amp;"-"&amp;K2</f>
        <v/>
      </c>
      <c r="M2" s="25" t="inlineStr">
        <is>
          <t>FY</t>
        </is>
      </c>
      <c r="N2" s="25" t="inlineStr">
        <is>
          <t>peach</t>
        </is>
      </c>
      <c r="O2" s="27">
        <f>IFERROR(INDEX(Vocabulary!$D$2:$D$19,MATCH(N2,Vocabulary!$A$2:$A$19,0)),"")</f>
        <v/>
      </c>
      <c r="P2" s="27">
        <f>IFERROR(INDEX(Vocabulary!$C$2:$C$19,MATCH(N2,Vocabulary!$A$2:$A$19,0)),"")</f>
        <v/>
      </c>
      <c r="Q2" s="25" t="inlineStr">
        <is>
          <t>Big Top</t>
        </is>
      </c>
      <c r="R2" s="28" t="n">
        <v>2.4</v>
      </c>
      <c r="S2" s="25" t="inlineStr">
        <is>
          <t>regadiu</t>
        </is>
      </c>
      <c r="T2" s="25" t="inlineStr">
        <is>
          <t>propietat</t>
        </is>
      </c>
      <c r="U2" s="25" t="inlineStr">
        <is>
          <t>yes</t>
        </is>
      </c>
    </row>
    <row r="3" ht="15" customHeight="1" s="20">
      <c r="A3" s="25" t="inlineStr">
        <is>
          <t>P2</t>
        </is>
      </c>
      <c r="B3" s="25" t="inlineStr">
        <is>
          <t>parcel·la 2; les pomeres; Gala block; второй участок; яблони</t>
        </is>
      </c>
      <c r="C3" s="25" t="inlineStr">
        <is>
          <t>2026</t>
        </is>
      </c>
      <c r="D3" s="25" t="inlineStr">
        <is>
          <t>EXP-25-0001</t>
        </is>
      </c>
      <c r="E3" s="25" t="n">
        <v>25</v>
      </c>
      <c r="F3" s="25" t="n">
        <v>120</v>
      </c>
      <c r="G3" s="25" t="n">
        <v>0</v>
      </c>
      <c r="H3" s="25" t="n">
        <v>0</v>
      </c>
      <c r="I3" s="25" t="n">
        <v>7</v>
      </c>
      <c r="J3" s="25" t="n">
        <v>46</v>
      </c>
      <c r="K3" s="25" t="n">
        <v>2</v>
      </c>
      <c r="L3" s="26">
        <f>E3&amp;"-"&amp;F3&amp;"-"&amp;G3&amp;"-"&amp;H3&amp;"-"&amp;I3&amp;"-"&amp;J3&amp;"-"&amp;K3</f>
        <v/>
      </c>
      <c r="M3" s="25" t="inlineStr">
        <is>
          <t>FY</t>
        </is>
      </c>
      <c r="N3" s="25" t="inlineStr">
        <is>
          <t>apple</t>
        </is>
      </c>
      <c r="O3" s="27">
        <f>IFERROR(INDEX(Vocabulary!$D$2:$D$19,MATCH(N3,Vocabulary!$A$2:$A$19,0)),"")</f>
        <v/>
      </c>
      <c r="P3" s="27">
        <f>IFERROR(INDEX(Vocabulary!$C$2:$C$19,MATCH(N3,Vocabulary!$A$2:$A$19,0)),"")</f>
        <v/>
      </c>
      <c r="Q3" s="25" t="inlineStr">
        <is>
          <t>Gala</t>
        </is>
      </c>
      <c r="R3" s="28" t="n">
        <v>1.8</v>
      </c>
      <c r="S3" s="25" t="inlineStr">
        <is>
          <t>regadiu</t>
        </is>
      </c>
      <c r="T3" s="25" t="inlineStr">
        <is>
          <t>arrendament</t>
        </is>
      </c>
      <c r="U3" s="25" t="inlineStr">
        <is>
          <t>no</t>
        </is>
      </c>
    </row>
    <row r="4" ht="15" customHeight="1" s="20">
      <c r="A4" s="25" t="inlineStr">
        <is>
          <t>P3</t>
        </is>
      </c>
      <c r="B4" s="25" t="inlineStr">
        <is>
          <t>parcel·la 3; les peres; третий участок; груши</t>
        </is>
      </c>
      <c r="C4" s="25" t="inlineStr">
        <is>
          <t>2026</t>
        </is>
      </c>
      <c r="D4" s="25" t="inlineStr">
        <is>
          <t>EXP-25-0001</t>
        </is>
      </c>
      <c r="E4" s="25" t="n">
        <v>25</v>
      </c>
      <c r="F4" s="25" t="n">
        <v>120</v>
      </c>
      <c r="G4" s="25" t="n">
        <v>0</v>
      </c>
      <c r="H4" s="25" t="n">
        <v>0</v>
      </c>
      <c r="I4" s="25" t="n">
        <v>8</v>
      </c>
      <c r="J4" s="25" t="n">
        <v>12</v>
      </c>
      <c r="K4" s="25" t="n">
        <v>1</v>
      </c>
      <c r="L4" s="26">
        <f>E4&amp;"-"&amp;F4&amp;"-"&amp;G4&amp;"-"&amp;H4&amp;"-"&amp;I4&amp;"-"&amp;J4&amp;"-"&amp;K4</f>
        <v/>
      </c>
      <c r="M4" s="25" t="inlineStr">
        <is>
          <t>FY</t>
        </is>
      </c>
      <c r="N4" s="25" t="inlineStr">
        <is>
          <t>pear</t>
        </is>
      </c>
      <c r="O4" s="27">
        <f>IFERROR(INDEX(Vocabulary!$D$2:$D$19,MATCH(N4,Vocabulary!$A$2:$A$19,0)),"")</f>
        <v/>
      </c>
      <c r="P4" s="27">
        <f>IFERROR(INDEX(Vocabulary!$C$2:$C$19,MATCH(N4,Vocabulary!$A$2:$A$19,0)),"")</f>
        <v/>
      </c>
      <c r="Q4" s="25" t="inlineStr">
        <is>
          <t>Conference</t>
        </is>
      </c>
      <c r="R4" s="28" t="n">
        <v>2</v>
      </c>
      <c r="S4" s="25" t="inlineStr">
        <is>
          <t>regadiu</t>
        </is>
      </c>
      <c r="T4" s="25" t="inlineStr">
        <is>
          <t>propietat</t>
        </is>
      </c>
      <c r="U4" s="25" t="inlineStr">
        <is>
          <t>yes</t>
        </is>
      </c>
    </row>
    <row r="5" ht="15" customHeight="1" s="20">
      <c r="A5" s="25" t="inlineStr">
        <is>
          <t>P4</t>
        </is>
      </c>
      <c r="B5" s="25" t="inlineStr">
        <is>
          <t>l'olivar; el olivar; olive grove; оливы</t>
        </is>
      </c>
      <c r="C5" s="25" t="inlineStr">
        <is>
          <t>2026</t>
        </is>
      </c>
      <c r="D5" s="25" t="inlineStr">
        <is>
          <t>EXP-25-0001</t>
        </is>
      </c>
      <c r="E5" s="25" t="n">
        <v>25</v>
      </c>
      <c r="F5" s="25" t="n">
        <v>233</v>
      </c>
      <c r="G5" s="25" t="n">
        <v>0</v>
      </c>
      <c r="H5" s="25" t="n">
        <v>0</v>
      </c>
      <c r="I5" s="25" t="n">
        <v>3</v>
      </c>
      <c r="J5" s="25" t="n">
        <v>101</v>
      </c>
      <c r="K5" s="25" t="n">
        <v>1</v>
      </c>
      <c r="L5" s="26">
        <f>E5&amp;"-"&amp;F5&amp;"-"&amp;G5&amp;"-"&amp;H5&amp;"-"&amp;I5&amp;"-"&amp;J5&amp;"-"&amp;K5</f>
        <v/>
      </c>
      <c r="M5" s="25" t="inlineStr">
        <is>
          <t>OV</t>
        </is>
      </c>
      <c r="N5" s="25" t="inlineStr">
        <is>
          <t>olive</t>
        </is>
      </c>
      <c r="O5" s="27">
        <f>IFERROR(INDEX(Vocabulary!$D$2:$D$19,MATCH(N5,Vocabulary!$A$2:$A$19,0)),"")</f>
        <v/>
      </c>
      <c r="P5" s="27">
        <f>IFERROR(INDEX(Vocabulary!$C$2:$C$19,MATCH(N5,Vocabulary!$A$2:$A$19,0)),"")</f>
        <v/>
      </c>
      <c r="Q5" s="25" t="inlineStr">
        <is>
          <t>Arbequina</t>
        </is>
      </c>
      <c r="R5" s="28" t="n">
        <v>3.5</v>
      </c>
      <c r="S5" s="25" t="inlineStr">
        <is>
          <t>secà</t>
        </is>
      </c>
      <c r="T5" s="25" t="inlineStr">
        <is>
          <t>propietat</t>
        </is>
      </c>
      <c r="U5" s="25" t="inlineStr">
        <is>
          <t>yes</t>
        </is>
      </c>
    </row>
    <row r="6" ht="15" customHeight="1" s="20">
      <c r="A6" s="25" t="inlineStr">
        <is>
          <t>P5</t>
        </is>
      </c>
      <c r="B6" s="25" t="inlineStr">
        <is>
          <t>els ametllers; los almendros; almonds; миндаль</t>
        </is>
      </c>
      <c r="C6" s="25" t="inlineStr">
        <is>
          <t>2026</t>
        </is>
      </c>
      <c r="D6" s="25" t="inlineStr">
        <is>
          <t>EXP-25-0001</t>
        </is>
      </c>
      <c r="E6" s="25" t="n">
        <v>25</v>
      </c>
      <c r="F6" s="25" t="n">
        <v>233</v>
      </c>
      <c r="G6" s="25" t="n">
        <v>0</v>
      </c>
      <c r="H6" s="25" t="n">
        <v>0</v>
      </c>
      <c r="I6" s="25" t="n">
        <v>3</v>
      </c>
      <c r="J6" s="25" t="n">
        <v>102</v>
      </c>
      <c r="K6" s="25" t="n">
        <v>1</v>
      </c>
      <c r="L6" s="26">
        <f>E6&amp;"-"&amp;F6&amp;"-"&amp;G6&amp;"-"&amp;H6&amp;"-"&amp;I6&amp;"-"&amp;J6&amp;"-"&amp;K6</f>
        <v/>
      </c>
      <c r="M6" s="25" t="inlineStr">
        <is>
          <t>FS</t>
        </is>
      </c>
      <c r="N6" s="25" t="inlineStr">
        <is>
          <t>almond</t>
        </is>
      </c>
      <c r="O6" s="27">
        <f>IFERROR(INDEX(Vocabulary!$D$2:$D$19,MATCH(N6,Vocabulary!$A$2:$A$19,0)),"")</f>
        <v/>
      </c>
      <c r="P6" s="27">
        <f>IFERROR(INDEX(Vocabulary!$C$2:$C$19,MATCH(N6,Vocabulary!$A$2:$A$19,0)),"")</f>
        <v/>
      </c>
      <c r="Q6" s="25" t="inlineStr">
        <is>
          <t>Vairo</t>
        </is>
      </c>
      <c r="R6" s="28" t="n">
        <v>4.2</v>
      </c>
      <c r="S6" s="25" t="inlineStr">
        <is>
          <t>secà</t>
        </is>
      </c>
      <c r="T6" s="25" t="inlineStr">
        <is>
          <t>arrendament</t>
        </is>
      </c>
      <c r="U6" s="25" t="inlineStr">
        <is>
          <t>no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9" min="1" max="1"/>
    <col width="11" customWidth="1" style="19" min="2" max="2"/>
    <col width="14" customWidth="1" style="19" min="3" max="3"/>
    <col width="11" customWidth="1" style="19" min="4" max="4"/>
    <col width="6" customWidth="1" style="19" min="5" max="5"/>
    <col width="8" customWidth="1" style="19" min="6" max="6"/>
    <col width="9" customWidth="1" style="19" min="7" max="7"/>
    <col width="20" customWidth="1" style="19" min="8" max="8"/>
    <col width="11" customWidth="1" style="19" min="9" max="9"/>
    <col width="10" customWidth="1" style="19" min="10" max="10"/>
    <col width="12" customWidth="1" style="19" min="11" max="11"/>
    <col width="13" customWidth="1" style="19" min="12" max="12"/>
    <col width="22" customWidth="1" style="19" min="13" max="14"/>
    <col width="26" customWidth="1" style="19" min="15" max="15"/>
    <col width="15" customWidth="1" style="19" min="16" max="16"/>
    <col width="16" customWidth="1" style="19" min="17" max="17"/>
    <col width="20" customWidth="1" style="19" min="18" max="19"/>
    <col width="9" customWidth="1" style="19" min="20" max="20"/>
    <col width="6" customWidth="1" style="19" min="21" max="21"/>
    <col width="8" customWidth="1" style="19" min="22" max="22"/>
    <col width="11" customWidth="1" style="19" min="23" max="23"/>
    <col width="17" customWidth="1" style="19" min="24" max="24"/>
    <col width="26" customWidth="1" style="19" min="25" max="25"/>
    <col width="28" customWidth="1" style="19" min="26" max="27"/>
    <col width="50" customWidth="1" style="19" min="28" max="28"/>
    <col width="10" customWidth="1" style="19" min="29" max="29"/>
    <col width="15" customWidth="1" style="19" min="30" max="30"/>
    <col width="9" customWidth="1" style="19" min="31" max="31"/>
    <col width="40" customWidth="1" style="19" min="32" max="32"/>
    <col width="12" customWidth="1" style="19" min="33" max="34"/>
  </cols>
  <sheetData>
    <row r="1" ht="30" customHeight="1" s="20">
      <c r="A1" s="24" t="inlineStr">
        <is>
          <t>record_id</t>
        </is>
      </c>
      <c r="B1" s="24" t="inlineStr">
        <is>
          <t>date</t>
        </is>
      </c>
      <c r="C1" s="24" t="inlineStr">
        <is>
          <t>farmer_chat_id</t>
        </is>
      </c>
      <c r="D1" s="24" t="inlineStr">
        <is>
          <t>farmer_name</t>
        </is>
      </c>
      <c r="E1" s="24" t="inlineStr">
        <is>
          <t>lang</t>
        </is>
      </c>
      <c r="F1" s="24" t="inlineStr">
        <is>
          <t>reply_lang</t>
        </is>
      </c>
      <c r="G1" s="24" t="inlineStr">
        <is>
          <t>parcel_alias</t>
        </is>
      </c>
      <c r="H1" s="24" t="inlineStr">
        <is>
          <t>sigpac_ref</t>
        </is>
      </c>
      <c r="I1" s="24" t="inlineStr">
        <is>
          <t>crop_ca</t>
        </is>
      </c>
      <c r="J1" s="24" t="inlineStr">
        <is>
          <t>crop_en</t>
        </is>
      </c>
      <c r="K1" s="24" t="inlineStr">
        <is>
          <t>crop_spoken</t>
        </is>
      </c>
      <c r="L1" s="24" t="inlineStr">
        <is>
          <t>activity_key</t>
        </is>
      </c>
      <c r="M1" s="24" t="inlineStr">
        <is>
          <t>activity_ca</t>
        </is>
      </c>
      <c r="N1" s="24" t="inlineStr">
        <is>
          <t>activity_en</t>
        </is>
      </c>
      <c r="O1" s="24" t="inlineStr">
        <is>
          <t>product</t>
        </is>
      </c>
      <c r="P1" s="24" t="inlineStr">
        <is>
          <t>reg_number</t>
        </is>
      </c>
      <c r="Q1" s="24" t="inlineStr">
        <is>
          <t>target_pest_key</t>
        </is>
      </c>
      <c r="R1" s="24" t="inlineStr">
        <is>
          <t>target_pest_ca</t>
        </is>
      </c>
      <c r="S1" s="24" t="inlineStr">
        <is>
          <t>target_pest_en</t>
        </is>
      </c>
      <c r="T1" s="24" t="inlineStr">
        <is>
          <t>quantity</t>
        </is>
      </c>
      <c r="U1" s="24" t="inlineStr">
        <is>
          <t>unit</t>
        </is>
      </c>
      <c r="V1" s="24" t="inlineStr">
        <is>
          <t>area_ha</t>
        </is>
      </c>
      <c r="W1" s="24" t="inlineStr">
        <is>
          <t>dose_per_ha (unit/ha)</t>
        </is>
      </c>
      <c r="X1" s="24" t="inlineStr">
        <is>
          <t>applicator_ropo</t>
        </is>
      </c>
      <c r="Y1" s="24" t="inlineStr">
        <is>
          <t>equipment_roma</t>
        </is>
      </c>
      <c r="Z1" s="24" t="inlineStr">
        <is>
          <t>notes_ca</t>
        </is>
      </c>
      <c r="AA1" s="24" t="inlineStr">
        <is>
          <t>notes_en</t>
        </is>
      </c>
      <c r="AB1" s="24" t="inlineStr">
        <is>
          <t>transcript_original</t>
        </is>
      </c>
      <c r="AC1" s="24" t="inlineStr">
        <is>
          <t>confidence</t>
        </is>
      </c>
      <c r="AD1" s="24" t="inlineStr">
        <is>
          <t>status</t>
        </is>
      </c>
      <c r="AE1" s="24" t="inlineStr">
        <is>
          <t>judge_score</t>
        </is>
      </c>
      <c r="AF1" s="24" t="inlineStr">
        <is>
          <t>judge_reason</t>
        </is>
      </c>
      <c r="AG1" s="24" t="inlineStr">
        <is>
          <t>confirmed_by</t>
        </is>
      </c>
      <c r="AH1" s="24" t="inlineStr">
        <is>
          <t>corrected_by</t>
        </is>
      </c>
    </row>
    <row r="2" ht="23.85" customHeight="1" s="20">
      <c r="A2" s="29" t="inlineStr">
        <is>
          <t>R0001</t>
        </is>
      </c>
      <c r="B2" s="30" t="n">
        <v>46315</v>
      </c>
      <c r="C2" s="29" t="n">
        <v>1001</v>
      </c>
      <c r="D2" s="29" t="inlineStr">
        <is>
          <t>Joan</t>
        </is>
      </c>
      <c r="E2" s="29" t="inlineStr">
        <is>
          <t>ca</t>
        </is>
      </c>
      <c r="F2" s="31">
        <f>E2</f>
        <v/>
      </c>
      <c r="G2" s="29" t="inlineStr">
        <is>
          <t>P3</t>
        </is>
      </c>
      <c r="H2" s="32">
        <f>IF(G2="","",IFERROR(INDEX(Parcels_DUN!$L$2:$L$100,MATCH(G2,Parcels_DUN!$A$2:$A$100,0)),"UNKNOWN PARCEL"))</f>
        <v/>
      </c>
      <c r="I2" s="32">
        <f>IF(G2="","",IFERROR(INDEX(Parcels_DUN!$O$2:$O$100,MATCH(G2,Parcels_DUN!$A$2:$A$100,0)),"UNKNOWN PARCEL"))</f>
        <v/>
      </c>
      <c r="J2" s="32">
        <f>IF(G2="","",IFERROR(INDEX(Parcels_DUN!$P$2:$P$100,MATCH(G2,Parcels_DUN!$A$2:$A$100,0)),"UNKNOWN PARCEL"))</f>
        <v/>
      </c>
      <c r="K2" s="29" t="inlineStr">
        <is>
          <t>peres</t>
        </is>
      </c>
      <c r="L2" s="29" t="inlineStr">
        <is>
          <t>treatment</t>
        </is>
      </c>
      <c r="M2" s="32">
        <f>IF(L2="","",IFERROR(INDEX(Vocabulary!$D$2:$D$19,MATCH(L2,Vocabulary!$A$2:$A$19,0)),"UNKNOWN"))</f>
        <v/>
      </c>
      <c r="N2" s="32">
        <f>IF(L2="","",IFERROR(INDEX(Vocabulary!$C$2:$C$19,MATCH(L2,Vocabulary!$A$2:$A$19,0)),"UNKNOWN"))</f>
        <v/>
      </c>
      <c r="O2" s="29" t="inlineStr">
        <is>
          <t>Oxicloruro de cobre 50% WP</t>
        </is>
      </c>
      <c r="P2" s="29" t="inlineStr">
        <is>
          <t>ES-00000 (sample)</t>
        </is>
      </c>
      <c r="Q2" s="29" t="inlineStr">
        <is>
          <t>bacterial_canker</t>
        </is>
      </c>
      <c r="R2" s="32">
        <f>IF(Q2="","",IFERROR(INDEX(Vocabulary!$D$2:$D$19,MATCH(Q2,Vocabulary!$A$2:$A$19,0)),"UNKNOWN"))</f>
        <v/>
      </c>
      <c r="S2" s="32">
        <f>IF(Q2="","",IFERROR(INDEX(Vocabulary!$C$2:$C$19,MATCH(Q2,Vocabulary!$A$2:$A$19,0)),"UNKNOWN"))</f>
        <v/>
      </c>
      <c r="T2" s="29" t="n">
        <v>4</v>
      </c>
      <c r="U2" s="29" t="inlineStr">
        <is>
          <t>kg</t>
        </is>
      </c>
      <c r="V2" s="33" t="n">
        <v>2</v>
      </c>
      <c r="W2" s="34">
        <f>IF(AND(ISNUMBER(T2),ISNUMBER(V2)),IF(V2&gt;0,T2/V2,""),"")</f>
        <v/>
      </c>
      <c r="X2" s="29" t="inlineStr">
        <is>
          <t>ROPO-0001 (sample)</t>
        </is>
      </c>
      <c r="Y2" s="35" t="inlineStr">
        <is>
          <t>Atomitzador ROMA-0001 (sample)</t>
        </is>
      </c>
      <c r="Z2" s="35" t="inlineStr">
        <is>
          <t>Coure post-collita</t>
        </is>
      </c>
      <c r="AA2" s="35" t="inlineStr">
        <is>
          <t>Post-harvest copper</t>
        </is>
      </c>
      <c r="AB2" s="35" t="inlineStr">
        <is>
          <t>Ahir vaig tirar coure a la parcel·la 3, quatre quilos per les dues hectàrees.</t>
        </is>
      </c>
      <c r="AC2" s="33" t="n">
        <v>0.9</v>
      </c>
      <c r="AD2" s="36" t="inlineStr">
        <is>
          <t>auto_approved</t>
        </is>
      </c>
      <c r="AE2" s="33" t="n">
        <v>0.92</v>
      </c>
      <c r="AF2" s="35" t="inlineStr">
        <is>
          <t>Dose within usual range; Gemma and Scribe agree.</t>
        </is>
      </c>
      <c r="AG2" s="29" t="inlineStr">
        <is>
          <t>farmer</t>
        </is>
      </c>
      <c r="AH2" s="36" t="n"/>
    </row>
    <row r="3" ht="15" customHeight="1" s="20">
      <c r="A3" s="29" t="inlineStr">
        <is>
          <t>R0002</t>
        </is>
      </c>
      <c r="B3" s="30" t="n">
        <v>46315</v>
      </c>
      <c r="C3" s="29" t="n">
        <v>1001</v>
      </c>
      <c r="D3" s="29" t="inlineStr">
        <is>
          <t>Joan</t>
        </is>
      </c>
      <c r="E3" s="29" t="inlineStr">
        <is>
          <t>ca</t>
        </is>
      </c>
      <c r="F3" s="31">
        <f>E3</f>
        <v/>
      </c>
      <c r="G3" s="29" t="inlineStr">
        <is>
          <t>P1</t>
        </is>
      </c>
      <c r="H3" s="32">
        <f>IF(G3="","",IFERROR(INDEX(Parcels_DUN!$L$2:$L$100,MATCH(G3,Parcels_DUN!$A$2:$A$100,0)),"UNKNOWN PARCEL"))</f>
        <v/>
      </c>
      <c r="I3" s="32">
        <f>IF(G3="","",IFERROR(INDEX(Parcels_DUN!$O$2:$O$100,MATCH(G3,Parcels_DUN!$A$2:$A$100,0)),"UNKNOWN PARCEL"))</f>
        <v/>
      </c>
      <c r="J3" s="32">
        <f>IF(G3="","",IFERROR(INDEX(Parcels_DUN!$P$2:$P$100,MATCH(G3,Parcels_DUN!$A$2:$A$100,0)),"UNKNOWN PARCEL"))</f>
        <v/>
      </c>
      <c r="K3" s="29" t="inlineStr">
        <is>
          <t>préssec</t>
        </is>
      </c>
      <c r="L3" s="29" t="inlineStr">
        <is>
          <t>fertilization</t>
        </is>
      </c>
      <c r="M3" s="32">
        <f>IF(L3="","",IFERROR(INDEX(Vocabulary!$D$2:$D$19,MATCH(L3,Vocabulary!$A$2:$A$19,0)),"UNKNOWN"))</f>
        <v/>
      </c>
      <c r="N3" s="32">
        <f>IF(L3="","",IFERROR(INDEX(Vocabulary!$C$2:$C$19,MATCH(L3,Vocabulary!$A$2:$A$19,0)),"UNKNOWN"))</f>
        <v/>
      </c>
      <c r="O3" s="29" t="inlineStr">
        <is>
          <t>Fem (manure)</t>
        </is>
      </c>
      <c r="P3" s="29" t="n"/>
      <c r="Q3" s="29" t="n"/>
      <c r="R3" s="32">
        <f>IF(Q3="","",IFERROR(INDEX(Vocabulary!$D$2:$D$19,MATCH(Q3,Vocabulary!$A$2:$A$19,0)),"UNKNOWN"))</f>
        <v/>
      </c>
      <c r="S3" s="32">
        <f>IF(Q3="","",IFERROR(INDEX(Vocabulary!$C$2:$C$19,MATCH(Q3,Vocabulary!$A$2:$A$19,0)),"UNKNOWN"))</f>
        <v/>
      </c>
      <c r="T3" s="29" t="n">
        <v>10</v>
      </c>
      <c r="U3" s="29" t="inlineStr">
        <is>
          <t>t</t>
        </is>
      </c>
      <c r="V3" s="33" t="n">
        <v>2.4</v>
      </c>
      <c r="W3" s="34">
        <f>IF(AND(ISNUMBER(T3),ISNUMBER(V3)),IF(V3&gt;0,T3/V3,""),"")</f>
        <v/>
      </c>
      <c r="X3" s="29" t="n"/>
      <c r="Y3" s="35" t="n"/>
      <c r="Z3" s="35" t="inlineStr">
        <is>
          <t>Fem de vaca</t>
        </is>
      </c>
      <c r="AA3" s="35" t="inlineStr">
        <is>
          <t>Cow manure</t>
        </is>
      </c>
      <c r="AB3" s="35" t="inlineStr">
        <is>
          <t>He escampat deu tones de fem al préssec.</t>
        </is>
      </c>
      <c r="AC3" s="33" t="n">
        <v>0.9</v>
      </c>
      <c r="AD3" s="36" t="inlineStr">
        <is>
          <t>auto_approved</t>
        </is>
      </c>
      <c r="AE3" s="33" t="n">
        <v>0.88</v>
      </c>
      <c r="AF3" s="35" t="inlineStr">
        <is>
          <t>Plausible for season and area.</t>
        </is>
      </c>
      <c r="AG3" s="29" t="inlineStr">
        <is>
          <t>farmer</t>
        </is>
      </c>
      <c r="AH3" s="36" t="inlineStr">
        <is>
          <t>farmer</t>
        </is>
      </c>
    </row>
    <row r="4" ht="23.85" customHeight="1" s="20">
      <c r="A4" s="29" t="inlineStr">
        <is>
          <t>R0003</t>
        </is>
      </c>
      <c r="B4" s="30" t="n">
        <v>46316</v>
      </c>
      <c r="C4" s="29" t="n">
        <v>1002</v>
      </c>
      <c r="D4" s="29" t="inlineStr">
        <is>
          <t>María</t>
        </is>
      </c>
      <c r="E4" s="29" t="inlineStr">
        <is>
          <t>es</t>
        </is>
      </c>
      <c r="F4" s="31">
        <f>E4</f>
        <v/>
      </c>
      <c r="G4" s="29" t="inlineStr">
        <is>
          <t>P4</t>
        </is>
      </c>
      <c r="H4" s="32">
        <f>IF(G4="","",IFERROR(INDEX(Parcels_DUN!$L$2:$L$100,MATCH(G4,Parcels_DUN!$A$2:$A$100,0)),"UNKNOWN PARCEL"))</f>
        <v/>
      </c>
      <c r="I4" s="32">
        <f>IF(G4="","",IFERROR(INDEX(Parcels_DUN!$O$2:$O$100,MATCH(G4,Parcels_DUN!$A$2:$A$100,0)),"UNKNOWN PARCEL"))</f>
        <v/>
      </c>
      <c r="J4" s="32">
        <f>IF(G4="","",IFERROR(INDEX(Parcels_DUN!$P$2:$P$100,MATCH(G4,Parcels_DUN!$A$2:$A$100,0)),"UNKNOWN PARCEL"))</f>
        <v/>
      </c>
      <c r="K4" s="29" t="inlineStr">
        <is>
          <t>aceituna</t>
        </is>
      </c>
      <c r="L4" s="29" t="inlineStr">
        <is>
          <t>harvest</t>
        </is>
      </c>
      <c r="M4" s="32">
        <f>IF(L4="","",IFERROR(INDEX(Vocabulary!$D$2:$D$19,MATCH(L4,Vocabulary!$A$2:$A$19,0)),"UNKNOWN"))</f>
        <v/>
      </c>
      <c r="N4" s="32">
        <f>IF(L4="","",IFERROR(INDEX(Vocabulary!$C$2:$C$19,MATCH(L4,Vocabulary!$A$2:$A$19,0)),"UNKNOWN"))</f>
        <v/>
      </c>
      <c r="O4" s="29" t="n"/>
      <c r="P4" s="29" t="n"/>
      <c r="Q4" s="29" t="n"/>
      <c r="R4" s="32">
        <f>IF(Q4="","",IFERROR(INDEX(Vocabulary!$D$2:$D$19,MATCH(Q4,Vocabulary!$A$2:$A$19,0)),"UNKNOWN"))</f>
        <v/>
      </c>
      <c r="S4" s="32">
        <f>IF(Q4="","",IFERROR(INDEX(Vocabulary!$C$2:$C$19,MATCH(Q4,Vocabulary!$A$2:$A$19,0)),"UNKNOWN"))</f>
        <v/>
      </c>
      <c r="T4" s="29" t="n">
        <v>6500</v>
      </c>
      <c r="U4" s="29" t="inlineStr">
        <is>
          <t>kg</t>
        </is>
      </c>
      <c r="V4" s="33" t="n">
        <v>3.5</v>
      </c>
      <c r="W4" s="34">
        <f>IF(AND(ISNUMBER(T4),ISNUMBER(V4)),IF(V4&gt;0,T4/V4,""),"")</f>
        <v/>
      </c>
      <c r="X4" s="29" t="n"/>
      <c r="Y4" s="35" t="n"/>
      <c r="Z4" s="35" t="inlineStr">
        <is>
          <t>Arbequina, primera passada</t>
        </is>
      </c>
      <c r="AA4" s="35" t="inlineStr">
        <is>
          <t>Arbequina, first pass</t>
        </is>
      </c>
      <c r="AB4" s="35" t="inlineStr">
        <is>
          <t>Hoy hemos cosechado seis mil quinientos kilos de aceituna en el olivar.</t>
        </is>
      </c>
      <c r="AC4" s="33" t="n">
        <v>0.9</v>
      </c>
      <c r="AD4" s="36" t="inlineStr">
        <is>
          <t>auto_approved</t>
        </is>
      </c>
      <c r="AE4" s="33" t="n">
        <v>0.9</v>
      </c>
      <c r="AF4" s="35" t="inlineStr">
        <is>
          <t>Yield per ha plausible for Arbequina in secano.</t>
        </is>
      </c>
      <c r="AG4" s="29" t="inlineStr">
        <is>
          <t>farmer</t>
        </is>
      </c>
      <c r="AH4" s="36" t="n"/>
    </row>
    <row r="5" ht="23.85" customHeight="1" s="20">
      <c r="A5" s="29" t="inlineStr">
        <is>
          <t>R0004</t>
        </is>
      </c>
      <c r="B5" s="30" t="n">
        <v>46316</v>
      </c>
      <c r="C5" s="29" t="n">
        <v>1002</v>
      </c>
      <c r="D5" s="29" t="inlineStr">
        <is>
          <t>María</t>
        </is>
      </c>
      <c r="E5" s="29" t="inlineStr">
        <is>
          <t>es</t>
        </is>
      </c>
      <c r="F5" s="31">
        <f>E5</f>
        <v/>
      </c>
      <c r="G5" s="29" t="inlineStr">
        <is>
          <t>P5</t>
        </is>
      </c>
      <c r="H5" s="32">
        <f>IF(G5="","",IFERROR(INDEX(Parcels_DUN!$L$2:$L$100,MATCH(G5,Parcels_DUN!$A$2:$A$100,0)),"UNKNOWN PARCEL"))</f>
        <v/>
      </c>
      <c r="I5" s="32">
        <f>IF(G5="","",IFERROR(INDEX(Parcels_DUN!$O$2:$O$100,MATCH(G5,Parcels_DUN!$A$2:$A$100,0)),"UNKNOWN PARCEL"))</f>
        <v/>
      </c>
      <c r="J5" s="32">
        <f>IF(G5="","",IFERROR(INDEX(Parcels_DUN!$P$2:$P$100,MATCH(G5,Parcels_DUN!$A$2:$A$100,0)),"UNKNOWN PARCEL"))</f>
        <v/>
      </c>
      <c r="K5" s="29" t="inlineStr">
        <is>
          <t>almendros</t>
        </is>
      </c>
      <c r="L5" s="29" t="inlineStr">
        <is>
          <t>treatment</t>
        </is>
      </c>
      <c r="M5" s="32">
        <f>IF(L5="","",IFERROR(INDEX(Vocabulary!$D$2:$D$19,MATCH(L5,Vocabulary!$A$2:$A$19,0)),"UNKNOWN"))</f>
        <v/>
      </c>
      <c r="N5" s="32">
        <f>IF(L5="","",IFERROR(INDEX(Vocabulary!$C$2:$C$19,MATCH(L5,Vocabulary!$A$2:$A$19,0)),"UNKNOWN"))</f>
        <v/>
      </c>
      <c r="O5" s="29" t="inlineStr">
        <is>
          <t>Oxicloruro de cobre 50% WP</t>
        </is>
      </c>
      <c r="P5" s="29" t="inlineStr">
        <is>
          <t>ES-00000 (sample)</t>
        </is>
      </c>
      <c r="Q5" s="29" t="inlineStr">
        <is>
          <t>fungal_general</t>
        </is>
      </c>
      <c r="R5" s="32">
        <f>IF(Q5="","",IFERROR(INDEX(Vocabulary!$D$2:$D$19,MATCH(Q5,Vocabulary!$A$2:$A$19,0)),"UNKNOWN"))</f>
        <v/>
      </c>
      <c r="S5" s="32">
        <f>IF(Q5="","",IFERROR(INDEX(Vocabulary!$C$2:$C$19,MATCH(Q5,Vocabulary!$A$2:$A$19,0)),"UNKNOWN"))</f>
        <v/>
      </c>
      <c r="T5" s="29" t="n">
        <v>14</v>
      </c>
      <c r="U5" s="29" t="inlineStr">
        <is>
          <t>kg</t>
        </is>
      </c>
      <c r="V5" s="33" t="n">
        <v>4.2</v>
      </c>
      <c r="W5" s="34">
        <f>IF(AND(ISNUMBER(T5),ISNUMBER(V5)),IF(V5&gt;0,T5/V5,""),"")</f>
        <v/>
      </c>
      <c r="X5" s="29" t="inlineStr">
        <is>
          <t>ROPO-0002 (sample)</t>
        </is>
      </c>
      <c r="Y5" s="35" t="inlineStr">
        <is>
          <t>Atomizador ROMA-0002 (sample)</t>
        </is>
      </c>
      <c r="Z5" s="35" t="inlineStr">
        <is>
          <t>Quantitat corregida 40→14</t>
        </is>
      </c>
      <c r="AA5" s="35" t="inlineStr">
        <is>
          <t>Quantity corrected 40→14</t>
        </is>
      </c>
      <c r="AB5" s="35" t="inlineStr">
        <is>
          <t>Catorce kilos de cobre en los almendros, toda la parcela.</t>
        </is>
      </c>
      <c r="AC5" s="33" t="n">
        <v>0.6</v>
      </c>
      <c r="AD5" s="36" t="inlineStr">
        <is>
          <t>corrected</t>
        </is>
      </c>
      <c r="AE5" s="33" t="n">
        <v>0.41</v>
      </c>
      <c r="AF5" s="35" t="inlineStr">
        <is>
          <t>Gemma heard 40, Scribe heard 14 → 9.5 kg/ha too high. Sent to agronomist.</t>
        </is>
      </c>
      <c r="AG5" s="29" t="inlineStr">
        <is>
          <t>farmer</t>
        </is>
      </c>
      <c r="AH5" s="36" t="inlineStr">
        <is>
          <t>agronomist</t>
        </is>
      </c>
    </row>
    <row r="6" ht="15" customHeight="1" s="20">
      <c r="A6" s="29" t="inlineStr">
        <is>
          <t>R0005</t>
        </is>
      </c>
      <c r="B6" s="30" t="n">
        <v>46317</v>
      </c>
      <c r="C6" s="29" t="n">
        <v>1003</v>
      </c>
      <c r="D6" s="29" t="inlineStr">
        <is>
          <t>Tom</t>
        </is>
      </c>
      <c r="E6" s="29" t="inlineStr">
        <is>
          <t>en</t>
        </is>
      </c>
      <c r="F6" s="31">
        <f>E6</f>
        <v/>
      </c>
      <c r="G6" s="29" t="inlineStr">
        <is>
          <t>P2</t>
        </is>
      </c>
      <c r="H6" s="32">
        <f>IF(G6="","",IFERROR(INDEX(Parcels_DUN!$L$2:$L$100,MATCH(G6,Parcels_DUN!$A$2:$A$100,0)),"UNKNOWN PARCEL"))</f>
        <v/>
      </c>
      <c r="I6" s="32">
        <f>IF(G6="","",IFERROR(INDEX(Parcels_DUN!$O$2:$O$100,MATCH(G6,Parcels_DUN!$A$2:$A$100,0)),"UNKNOWN PARCEL"))</f>
        <v/>
      </c>
      <c r="J6" s="32">
        <f>IF(G6="","",IFERROR(INDEX(Parcels_DUN!$P$2:$P$100,MATCH(G6,Parcels_DUN!$A$2:$A$100,0)),"UNKNOWN PARCEL"))</f>
        <v/>
      </c>
      <c r="K6" s="29" t="inlineStr">
        <is>
          <t>Gala apples</t>
        </is>
      </c>
      <c r="L6" s="29" t="inlineStr">
        <is>
          <t>irrigation</t>
        </is>
      </c>
      <c r="M6" s="32">
        <f>IF(L6="","",IFERROR(INDEX(Vocabulary!$D$2:$D$19,MATCH(L6,Vocabulary!$A$2:$A$19,0)),"UNKNOWN"))</f>
        <v/>
      </c>
      <c r="N6" s="32">
        <f>IF(L6="","",IFERROR(INDEX(Vocabulary!$C$2:$C$19,MATCH(L6,Vocabulary!$A$2:$A$19,0)),"UNKNOWN"))</f>
        <v/>
      </c>
      <c r="O6" s="29" t="n"/>
      <c r="P6" s="29" t="n"/>
      <c r="Q6" s="29" t="n"/>
      <c r="R6" s="32">
        <f>IF(Q6="","",IFERROR(INDEX(Vocabulary!$D$2:$D$19,MATCH(Q6,Vocabulary!$A$2:$A$19,0)),"UNKNOWN"))</f>
        <v/>
      </c>
      <c r="S6" s="32">
        <f>IF(Q6="","",IFERROR(INDEX(Vocabulary!$C$2:$C$19,MATCH(Q6,Vocabulary!$A$2:$A$19,0)),"UNKNOWN"))</f>
        <v/>
      </c>
      <c r="T6" s="29" t="n">
        <v>120</v>
      </c>
      <c r="U6" s="29" t="inlineStr">
        <is>
          <t>m3</t>
        </is>
      </c>
      <c r="V6" s="33" t="n">
        <v>1.8</v>
      </c>
      <c r="W6" s="34">
        <f>IF(AND(ISNUMBER(T6),ISNUMBER(V6)),IF(V6&gt;0,T6/V6,""),"")</f>
        <v/>
      </c>
      <c r="X6" s="29" t="n"/>
      <c r="Y6" s="35" t="n"/>
      <c r="Z6" s="35" t="inlineStr">
        <is>
          <t>Reg per degoteig</t>
        </is>
      </c>
      <c r="AA6" s="35" t="inlineStr">
        <is>
          <t>Drip irrigation</t>
        </is>
      </c>
      <c r="AB6" s="35" t="inlineStr">
        <is>
          <t>Watered the Gala block today, about 120 cubic metres.</t>
        </is>
      </c>
      <c r="AC6" s="33" t="n">
        <v>0.9</v>
      </c>
      <c r="AD6" s="36" t="inlineStr">
        <is>
          <t>auto_approved</t>
        </is>
      </c>
      <c r="AE6" s="33" t="n">
        <v>0.86</v>
      </c>
      <c r="AF6" s="35" t="inlineStr">
        <is>
          <t>Volume plausible for drip irrigation.</t>
        </is>
      </c>
      <c r="AG6" s="29" t="inlineStr">
        <is>
          <t>farmer</t>
        </is>
      </c>
      <c r="AH6" s="36" t="n"/>
    </row>
    <row r="7" ht="15" customHeight="1" s="20">
      <c r="A7" s="29" t="inlineStr">
        <is>
          <t>R0006</t>
        </is>
      </c>
      <c r="B7" s="30" t="n">
        <v>46317</v>
      </c>
      <c r="C7" s="29" t="n">
        <v>1001</v>
      </c>
      <c r="D7" s="29" t="inlineStr">
        <is>
          <t>Joan</t>
        </is>
      </c>
      <c r="E7" s="29" t="inlineStr">
        <is>
          <t>ca</t>
        </is>
      </c>
      <c r="F7" s="31">
        <f>E7</f>
        <v/>
      </c>
      <c r="G7" s="29" t="inlineStr">
        <is>
          <t>P3</t>
        </is>
      </c>
      <c r="H7" s="32">
        <f>IF(G7="","",IFERROR(INDEX(Parcels_DUN!$L$2:$L$100,MATCH(G7,Parcels_DUN!$A$2:$A$100,0)),"UNKNOWN PARCEL"))</f>
        <v/>
      </c>
      <c r="I7" s="32">
        <f>IF(G7="","",IFERROR(INDEX(Parcels_DUN!$O$2:$O$100,MATCH(G7,Parcels_DUN!$A$2:$A$100,0)),"UNKNOWN PARCEL"))</f>
        <v/>
      </c>
      <c r="J7" s="32">
        <f>IF(G7="","",IFERROR(INDEX(Parcels_DUN!$P$2:$P$100,MATCH(G7,Parcels_DUN!$A$2:$A$100,0)),"UNKNOWN PARCEL"))</f>
        <v/>
      </c>
      <c r="K7" s="29" t="inlineStr">
        <is>
          <t>peres</t>
        </is>
      </c>
      <c r="L7" s="29" t="inlineStr">
        <is>
          <t>labour</t>
        </is>
      </c>
      <c r="M7" s="32">
        <f>IF(L7="","",IFERROR(INDEX(Vocabulary!$D$2:$D$19,MATCH(L7,Vocabulary!$A$2:$A$19,0)),"UNKNOWN"))</f>
        <v/>
      </c>
      <c r="N7" s="32">
        <f>IF(L7="","",IFERROR(INDEX(Vocabulary!$C$2:$C$19,MATCH(L7,Vocabulary!$A$2:$A$19,0)),"UNKNOWN"))</f>
        <v/>
      </c>
      <c r="O7" s="29" t="n"/>
      <c r="P7" s="29" t="n"/>
      <c r="Q7" s="29" t="n"/>
      <c r="R7" s="32">
        <f>IF(Q7="","",IFERROR(INDEX(Vocabulary!$D$2:$D$19,MATCH(Q7,Vocabulary!$A$2:$A$19,0)),"UNKNOWN"))</f>
        <v/>
      </c>
      <c r="S7" s="32">
        <f>IF(Q7="","",IFERROR(INDEX(Vocabulary!$C$2:$C$19,MATCH(Q7,Vocabulary!$A$2:$A$19,0)),"UNKNOWN"))</f>
        <v/>
      </c>
      <c r="T7" s="29" t="n"/>
      <c r="U7" s="29" t="n"/>
      <c r="V7" s="33" t="n">
        <v>2</v>
      </c>
      <c r="W7" s="34">
        <f>IF(AND(ISNUMBER(T7),ISNUMBER(V7)),IF(V7&gt;0,T7/V7,""),"")</f>
        <v/>
      </c>
      <c r="X7" s="29" t="n"/>
      <c r="Y7" s="35" t="n"/>
      <c r="Z7" s="35" t="inlineStr">
        <is>
          <t>Inici de la poda</t>
        </is>
      </c>
      <c r="AA7" s="35" t="inlineStr">
        <is>
          <t>Pruning started</t>
        </is>
      </c>
      <c r="AB7" s="35" t="inlineStr">
        <is>
          <t>Hem començat a podar les peres.</t>
        </is>
      </c>
      <c r="AC7" s="33" t="n">
        <v>0.9</v>
      </c>
      <c r="AD7" s="36" t="inlineStr">
        <is>
          <t>farmer_confirmed</t>
        </is>
      </c>
      <c r="AE7" s="33" t="n"/>
      <c r="AF7" s="35" t="n"/>
      <c r="AG7" s="29" t="inlineStr">
        <is>
          <t>farmer</t>
        </is>
      </c>
      <c r="AH7" s="36" t="n"/>
    </row>
    <row r="8" ht="23.85" customHeight="1" s="20">
      <c r="A8" s="29" t="inlineStr">
        <is>
          <t>R0007</t>
        </is>
      </c>
      <c r="B8" s="30" t="n">
        <v>46318</v>
      </c>
      <c r="C8" s="29" t="n">
        <v>1002</v>
      </c>
      <c r="D8" s="29" t="inlineStr">
        <is>
          <t>María</t>
        </is>
      </c>
      <c r="E8" s="29" t="inlineStr">
        <is>
          <t>es</t>
        </is>
      </c>
      <c r="F8" s="31">
        <f>E8</f>
        <v/>
      </c>
      <c r="G8" s="29" t="inlineStr">
        <is>
          <t>P1</t>
        </is>
      </c>
      <c r="H8" s="32">
        <f>IF(G8="","",IFERROR(INDEX(Parcels_DUN!$L$2:$L$100,MATCH(G8,Parcels_DUN!$A$2:$A$100,0)),"UNKNOWN PARCEL"))</f>
        <v/>
      </c>
      <c r="I8" s="32">
        <f>IF(G8="","",IFERROR(INDEX(Parcels_DUN!$O$2:$O$100,MATCH(G8,Parcels_DUN!$A$2:$A$100,0)),"UNKNOWN PARCEL"))</f>
        <v/>
      </c>
      <c r="J8" s="32">
        <f>IF(G8="","",IFERROR(INDEX(Parcels_DUN!$P$2:$P$100,MATCH(G8,Parcels_DUN!$A$2:$A$100,0)),"UNKNOWN PARCEL"))</f>
        <v/>
      </c>
      <c r="K8" s="29" t="inlineStr">
        <is>
          <t>manzanos</t>
        </is>
      </c>
      <c r="L8" s="29" t="inlineStr">
        <is>
          <t>treatment</t>
        </is>
      </c>
      <c r="M8" s="32">
        <f>IF(L8="","",IFERROR(INDEX(Vocabulary!$D$2:$D$19,MATCH(L8,Vocabulary!$A$2:$A$19,0)),"UNKNOWN"))</f>
        <v/>
      </c>
      <c r="N8" s="32">
        <f>IF(L8="","",IFERROR(INDEX(Vocabulary!$C$2:$C$19,MATCH(L8,Vocabulary!$A$2:$A$19,0)),"UNKNOWN"))</f>
        <v/>
      </c>
      <c r="O8" s="29" t="inlineStr">
        <is>
          <t>Azufre mojable 80% WG</t>
        </is>
      </c>
      <c r="P8" s="29" t="inlineStr">
        <is>
          <t>ES-00000 (sample)</t>
        </is>
      </c>
      <c r="Q8" s="29" t="inlineStr">
        <is>
          <t>powdery_mildew</t>
        </is>
      </c>
      <c r="R8" s="32">
        <f>IF(Q8="","",IFERROR(INDEX(Vocabulary!$D$2:$D$19,MATCH(Q8,Vocabulary!$A$2:$A$19,0)),"UNKNOWN"))</f>
        <v/>
      </c>
      <c r="S8" s="32">
        <f>IF(Q8="","",IFERROR(INDEX(Vocabulary!$C$2:$C$19,MATCH(Q8,Vocabulary!$A$2:$A$19,0)),"UNKNOWN"))</f>
        <v/>
      </c>
      <c r="T8" s="29" t="n">
        <v>3</v>
      </c>
      <c r="U8" s="29" t="inlineStr">
        <is>
          <t>kg</t>
        </is>
      </c>
      <c r="V8" s="33" t="n">
        <v>2.4</v>
      </c>
      <c r="W8" s="34">
        <f>IF(AND(ISNUMBER(T8),ISNUMBER(V8)),IF(V8&gt;0,T8/V8,""),"")</f>
        <v/>
      </c>
      <c r="X8" s="29" t="inlineStr">
        <is>
          <t>ROPO-0002 (sample)</t>
        </is>
      </c>
      <c r="Y8" s="35" t="inlineStr">
        <is>
          <t>Atomizador ROMA-0002 (sample)</t>
        </is>
      </c>
      <c r="Z8" s="35" t="inlineStr">
        <is>
          <t>Cultiu no coincideix amb la DUN</t>
        </is>
      </c>
      <c r="AA8" s="35" t="inlineStr">
        <is>
          <t>Crop does not match DUN</t>
        </is>
      </c>
      <c r="AB8" s="35" t="inlineStr">
        <is>
          <t>Tratamiento con azufre en los manzanos de la parcela uno, tres kilos.</t>
        </is>
      </c>
      <c r="AC8" s="33" t="n">
        <v>0.9</v>
      </c>
      <c r="AD8" s="36" t="inlineStr">
        <is>
          <t>needs_review</t>
        </is>
      </c>
      <c r="AE8" s="33" t="n">
        <v>0.55</v>
      </c>
      <c r="AF8" s="35" t="inlineStr">
        <is>
          <t>P1 declared as peach in DUN, farmer said apple trees. Check parcel or crop.</t>
        </is>
      </c>
      <c r="AG8" s="29" t="inlineStr">
        <is>
          <t>farmer</t>
        </is>
      </c>
      <c r="AH8" s="36" t="n"/>
    </row>
    <row r="9" ht="35.05" customHeight="1" s="20">
      <c r="A9" s="29" t="inlineStr">
        <is>
          <t>R0008</t>
        </is>
      </c>
      <c r="B9" s="30" t="n">
        <v>46318</v>
      </c>
      <c r="C9" s="29" t="n">
        <v>1004</v>
      </c>
      <c r="D9" s="29" t="inlineStr">
        <is>
          <t>Ivan</t>
        </is>
      </c>
      <c r="E9" s="29" t="inlineStr">
        <is>
          <t>ru</t>
        </is>
      </c>
      <c r="F9" s="31">
        <f>E9</f>
        <v/>
      </c>
      <c r="G9" s="29" t="inlineStr">
        <is>
          <t>P2</t>
        </is>
      </c>
      <c r="H9" s="32">
        <f>IF(G9="","",IFERROR(INDEX(Parcels_DUN!$L$2:$L$100,MATCH(G9,Parcels_DUN!$A$2:$A$100,0)),"UNKNOWN PARCEL"))</f>
        <v/>
      </c>
      <c r="I9" s="32">
        <f>IF(G9="","",IFERROR(INDEX(Parcels_DUN!$O$2:$O$100,MATCH(G9,Parcels_DUN!$A$2:$A$100,0)),"UNKNOWN PARCEL"))</f>
        <v/>
      </c>
      <c r="J9" s="32">
        <f>IF(G9="","",IFERROR(INDEX(Parcels_DUN!$P$2:$P$100,MATCH(G9,Parcels_DUN!$A$2:$A$100,0)),"UNKNOWN PARCEL"))</f>
        <v/>
      </c>
      <c r="K9" s="29" t="inlineStr">
        <is>
          <t>яблони</t>
        </is>
      </c>
      <c r="L9" s="29" t="inlineStr">
        <is>
          <t>fertilization</t>
        </is>
      </c>
      <c r="M9" s="32">
        <f>IF(L9="","",IFERROR(INDEX(Vocabulary!$D$2:$D$19,MATCH(L9,Vocabulary!$A$2:$A$19,0)),"UNKNOWN"))</f>
        <v/>
      </c>
      <c r="N9" s="32">
        <f>IF(L9="","",IFERROR(INDEX(Vocabulary!$C$2:$C$19,MATCH(L9,Vocabulary!$A$2:$A$19,0)),"UNKNOWN"))</f>
        <v/>
      </c>
      <c r="O9" s="29" t="inlineStr">
        <is>
          <t>NPK 15-15-15</t>
        </is>
      </c>
      <c r="P9" s="29" t="n"/>
      <c r="Q9" s="29" t="n"/>
      <c r="R9" s="32">
        <f>IF(Q9="","",IFERROR(INDEX(Vocabulary!$D$2:$D$19,MATCH(Q9,Vocabulary!$A$2:$A$19,0)),"UNKNOWN"))</f>
        <v/>
      </c>
      <c r="S9" s="32">
        <f>IF(Q9="","",IFERROR(INDEX(Vocabulary!$C$2:$C$19,MATCH(Q9,Vocabulary!$A$2:$A$19,0)),"UNKNOWN"))</f>
        <v/>
      </c>
      <c r="T9" s="29" t="n">
        <v>150</v>
      </c>
      <c r="U9" s="29" t="inlineStr">
        <is>
          <t>kg</t>
        </is>
      </c>
      <c r="V9" s="33" t="n">
        <v>1.8</v>
      </c>
      <c r="W9" s="34">
        <f>IF(AND(ISNUMBER(T9),ISNUMBER(V9)),IF(V9&gt;0,T9/V9,""),"")</f>
        <v/>
      </c>
      <c r="X9" s="29" t="n"/>
      <c r="Y9" s="35" t="n"/>
      <c r="Z9" s="35" t="inlineStr">
        <is>
          <t>Adob complex granulat</t>
        </is>
      </c>
      <c r="AA9" s="35" t="inlineStr">
        <is>
          <t>Granular compound fertiliser</t>
        </is>
      </c>
      <c r="AB9" s="35" t="inlineStr">
        <is>
          <t>Сегодня внёс сто пятьдесят килограммов NPK пятнадцать-пятнадцать-пятнадцать под яблони на втором участке.</t>
        </is>
      </c>
      <c r="AC9" s="33" t="n">
        <v>0.9</v>
      </c>
      <c r="AD9" s="36" t="inlineStr">
        <is>
          <t>auto_approved</t>
        </is>
      </c>
      <c r="AE9" s="33" t="n">
        <v>0.87</v>
      </c>
      <c r="AF9" s="35" t="inlineStr">
        <is>
          <t>83 kg/ha plausible for apple orchard.</t>
        </is>
      </c>
      <c r="AG9" s="29" t="inlineStr">
        <is>
          <t>farmer</t>
        </is>
      </c>
      <c r="AH9" s="36" t="n"/>
    </row>
    <row r="10" ht="35.05" customHeight="1" s="20">
      <c r="A10" s="29" t="inlineStr">
        <is>
          <t>R0009</t>
        </is>
      </c>
      <c r="B10" s="30" t="n">
        <v>46319</v>
      </c>
      <c r="C10" s="29" t="n">
        <v>1004</v>
      </c>
      <c r="D10" s="29" t="inlineStr">
        <is>
          <t>Ivan</t>
        </is>
      </c>
      <c r="E10" s="29" t="inlineStr">
        <is>
          <t>ru</t>
        </is>
      </c>
      <c r="F10" s="31">
        <f>E10</f>
        <v/>
      </c>
      <c r="G10" s="29" t="inlineStr">
        <is>
          <t>P3</t>
        </is>
      </c>
      <c r="H10" s="32">
        <f>IF(G10="","",IFERROR(INDEX(Parcels_DUN!$L$2:$L$100,MATCH(G10,Parcels_DUN!$A$2:$A$100,0)),"UNKNOWN PARCEL"))</f>
        <v/>
      </c>
      <c r="I10" s="32">
        <f>IF(G10="","",IFERROR(INDEX(Parcels_DUN!$O$2:$O$100,MATCH(G10,Parcels_DUN!$A$2:$A$100,0)),"UNKNOWN PARCEL"))</f>
        <v/>
      </c>
      <c r="J10" s="32">
        <f>IF(G10="","",IFERROR(INDEX(Parcels_DUN!$P$2:$P$100,MATCH(G10,Parcels_DUN!$A$2:$A$100,0)),"UNKNOWN PARCEL"))</f>
        <v/>
      </c>
      <c r="K10" s="29" t="inlineStr">
        <is>
          <t>груши</t>
        </is>
      </c>
      <c r="L10" s="29" t="inlineStr">
        <is>
          <t>treatment</t>
        </is>
      </c>
      <c r="M10" s="32">
        <f>IF(L10="","",IFERROR(INDEX(Vocabulary!$D$2:$D$19,MATCH(L10,Vocabulary!$A$2:$A$19,0)),"UNKNOWN"))</f>
        <v/>
      </c>
      <c r="N10" s="32">
        <f>IF(L10="","",IFERROR(INDEX(Vocabulary!$C$2:$C$19,MATCH(L10,Vocabulary!$A$2:$A$19,0)),"UNKNOWN"))</f>
        <v/>
      </c>
      <c r="O10" s="29" t="inlineStr">
        <is>
          <t>Oxicloruro de cobre 50% WP</t>
        </is>
      </c>
      <c r="P10" s="29" t="inlineStr">
        <is>
          <t>ES-00000 (sample)</t>
        </is>
      </c>
      <c r="Q10" s="29" t="inlineStr">
        <is>
          <t>unknown</t>
        </is>
      </c>
      <c r="R10" s="32">
        <f>IF(Q10="","",IFERROR(INDEX(Vocabulary!$D$2:$D$19,MATCH(Q10,Vocabulary!$A$2:$A$19,0)),"UNKNOWN"))</f>
        <v/>
      </c>
      <c r="S10" s="32">
        <f>IF(Q10="","",IFERROR(INDEX(Vocabulary!$C$2:$C$19,MATCH(Q10,Vocabulary!$A$2:$A$19,0)),"UNKNOWN"))</f>
        <v/>
      </c>
      <c r="T10" s="29" t="n">
        <v>4</v>
      </c>
      <c r="U10" s="29" t="inlineStr">
        <is>
          <t>kg</t>
        </is>
      </c>
      <c r="V10" s="33" t="n">
        <v>2</v>
      </c>
      <c r="W10" s="34">
        <f>IF(AND(ISNUMBER(T10),ISNUMBER(V10)),IF(V10&gt;0,T10/V10,""),"")</f>
        <v/>
      </c>
      <c r="X10" s="29" t="inlineStr">
        <is>
          <t>ROPO-0003 (sample)</t>
        </is>
      </c>
      <c r="Y10" s="35" t="inlineStr">
        <is>
          <t>Atomitzador ROMA-0001 (sample)</t>
        </is>
      </c>
      <c r="Z10" s="35" t="inlineStr">
        <is>
          <t>Plaga no reconeguda: 'чёрные пятна на листьях' (taques negres a les fulles)</t>
        </is>
      </c>
      <c r="AA10" s="35" t="inlineStr">
        <is>
          <t>Pest not in vocabulary: 'чёрные пятна на листьях' (black spots on leaves)</t>
        </is>
      </c>
      <c r="AB10" s="35" t="inlineStr">
        <is>
          <t>Обработал груши медью на третьем участке, четыре кило, от чёрных пятен на листьях.</t>
        </is>
      </c>
      <c r="AC10" s="33" t="n">
        <v>0.7</v>
      </c>
      <c r="AD10" s="36" t="inlineStr">
        <is>
          <t>needs_review</t>
        </is>
      </c>
      <c r="AE10" s="33" t="n">
        <v>0.62</v>
      </c>
      <c r="AF10" s="35" t="inlineStr">
        <is>
          <t>Target pest not in Vocabulary → agronomist must assign a pest key.</t>
        </is>
      </c>
      <c r="AG10" s="29" t="inlineStr">
        <is>
          <t>farmer</t>
        </is>
      </c>
      <c r="AH10" s="36" t="n"/>
    </row>
    <row r="11" ht="15" customHeight="1" s="20">
      <c r="A11" s="29" t="inlineStr">
        <is>
          <t>R0010</t>
        </is>
      </c>
      <c r="B11" s="30" t="n">
        <v>46319</v>
      </c>
      <c r="C11" s="29" t="n">
        <v>1003</v>
      </c>
      <c r="D11" s="29" t="inlineStr">
        <is>
          <t>Tom</t>
        </is>
      </c>
      <c r="E11" s="29" t="inlineStr">
        <is>
          <t>en</t>
        </is>
      </c>
      <c r="F11" s="31">
        <f>E11</f>
        <v/>
      </c>
      <c r="G11" s="29" t="n"/>
      <c r="H11" s="32">
        <f>IF(G11="","",IFERROR(INDEX(Parcels_DUN!$L$2:$L$100,MATCH(G11,Parcels_DUN!$A$2:$A$100,0)),"UNKNOWN PARCEL"))</f>
        <v/>
      </c>
      <c r="I11" s="32">
        <f>IF(G11="","",IFERROR(INDEX(Parcels_DUN!$O$2:$O$100,MATCH(G11,Parcels_DUN!$A$2:$A$100,0)),"UNKNOWN PARCEL"))</f>
        <v/>
      </c>
      <c r="J11" s="32">
        <f>IF(G11="","",IFERROR(INDEX(Parcels_DUN!$P$2:$P$100,MATCH(G11,Parcels_DUN!$A$2:$A$100,0)),"UNKNOWN PARCEL"))</f>
        <v/>
      </c>
      <c r="K11" s="29" t="n"/>
      <c r="L11" s="29" t="inlineStr">
        <is>
          <t>other</t>
        </is>
      </c>
      <c r="M11" s="32">
        <f>IF(L11="","",IFERROR(INDEX(Vocabulary!$D$2:$D$19,MATCH(L11,Vocabulary!$A$2:$A$19,0)),"UNKNOWN"))</f>
        <v/>
      </c>
      <c r="N11" s="32">
        <f>IF(L11="","",IFERROR(INDEX(Vocabulary!$C$2:$C$19,MATCH(L11,Vocabulary!$A$2:$A$19,0)),"UNKNOWN"))</f>
        <v/>
      </c>
      <c r="O11" s="29" t="n"/>
      <c r="P11" s="29" t="n"/>
      <c r="Q11" s="29" t="n"/>
      <c r="R11" s="32">
        <f>IF(Q11="","",IFERROR(INDEX(Vocabulary!$D$2:$D$19,MATCH(Q11,Vocabulary!$A$2:$A$19,0)),"UNKNOWN"))</f>
        <v/>
      </c>
      <c r="S11" s="32">
        <f>IF(Q11="","",IFERROR(INDEX(Vocabulary!$C$2:$C$19,MATCH(Q11,Vocabulary!$A$2:$A$19,0)),"UNKNOWN"))</f>
        <v/>
      </c>
      <c r="T11" s="29" t="n"/>
      <c r="U11" s="29" t="n"/>
      <c r="V11" s="33" t="n"/>
      <c r="W11" s="34">
        <f>IF(AND(ISNUMBER(T11),ISNUMBER(V11)),IF(V11&gt;0,T11/V11,""),"")</f>
        <v/>
      </c>
      <c r="X11" s="29" t="n"/>
      <c r="Y11" s="35" t="n"/>
      <c r="Z11" s="35" t="inlineStr">
        <is>
          <t>Missatge de prova</t>
        </is>
      </c>
      <c r="AA11" s="35" t="inlineStr">
        <is>
          <t>Test message</t>
        </is>
      </c>
      <c r="AB11" s="35" t="inlineStr">
        <is>
          <t>Test, test, is this working?</t>
        </is>
      </c>
      <c r="AC11" s="33" t="n">
        <v>0.3</v>
      </c>
      <c r="AD11" s="36" t="inlineStr">
        <is>
          <t>discarded</t>
        </is>
      </c>
      <c r="AE11" s="33" t="n"/>
      <c r="AF11" s="35" t="inlineStr">
        <is>
          <t>No farm activity detected.</t>
        </is>
      </c>
      <c r="AG11" s="29" t="n"/>
      <c r="AH11" s="36" t="n"/>
    </row>
  </sheetData>
  <autoFilter ref="A1:AH11"/>
  <dataValidations count="3">
    <dataValidation sqref="AD2:AD500" showDropDown="0" showInputMessage="0" showErrorMessage="0" allowBlank="1" type="list" errorStyle="stop" operator="between">
      <formula1>"draft,farmer_confirmed,auto_approved,needs_review,validated,corrected,discarded"</formula1>
      <formula2>0</formula2>
    </dataValidation>
    <dataValidation sqref="L2:L500" showDropDown="0" showInputMessage="0" showErrorMessage="0" allowBlank="1" type="list" errorStyle="stop" operator="between">
      <formula1>"treatment,fertilization,irrigation,harvest,labour,sowing,other"</formula1>
      <formula2>0</formula2>
    </dataValidation>
    <dataValidation sqref="E2:E500" showDropDown="0" showInputMessage="0" showErrorMessage="0" allowBlank="1" type="list" errorStyle="stop" operator="between">
      <formula1>"en,ru,ca,es"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9" min="1" max="1"/>
    <col width="14" customWidth="1" style="19" min="2" max="4"/>
    <col width="60" customWidth="1" style="19" min="5" max="5"/>
    <col width="11" customWidth="1" style="19" min="6" max="6"/>
    <col width="13" customWidth="1" style="19" min="7" max="7"/>
    <col width="17" customWidth="1" style="19" min="8" max="8"/>
    <col width="13" customWidth="1" style="19" min="9" max="9"/>
  </cols>
  <sheetData>
    <row r="1" ht="30" customHeight="1" s="20">
      <c r="A1" s="24" t="inlineStr">
        <is>
          <t>record_id</t>
        </is>
      </c>
      <c r="B1" s="24" t="inlineStr">
        <is>
          <t>field</t>
        </is>
      </c>
      <c r="C1" s="24" t="inlineStr">
        <is>
          <t>before</t>
        </is>
      </c>
      <c r="D1" s="24" t="inlineStr">
        <is>
          <t>after</t>
        </is>
      </c>
      <c r="E1" s="24" t="inlineStr">
        <is>
          <t>reason</t>
        </is>
      </c>
      <c r="F1" s="24" t="inlineStr">
        <is>
          <t>reason_lang</t>
        </is>
      </c>
      <c r="G1" s="24" t="inlineStr">
        <is>
          <t>corrected_by</t>
        </is>
      </c>
      <c r="H1" s="24" t="inlineStr">
        <is>
          <t>timestamp</t>
        </is>
      </c>
      <c r="I1" s="24" t="inlineStr">
        <is>
          <t>used_as_fewshot</t>
        </is>
      </c>
    </row>
    <row r="2" ht="15" customHeight="1" s="20">
      <c r="A2" s="36" t="inlineStr">
        <is>
          <t>R0002</t>
        </is>
      </c>
      <c r="B2" s="36" t="inlineStr">
        <is>
          <t>unit</t>
        </is>
      </c>
      <c r="C2" s="36" t="inlineStr">
        <is>
          <t>kg</t>
        </is>
      </c>
      <c r="D2" s="36" t="inlineStr">
        <is>
          <t>t</t>
        </is>
      </c>
      <c r="E2" s="37" t="inlineStr">
        <is>
          <t>Farmer edit on card: said 'deu tones' (ten tonnes), extractor wrote kg.</t>
        </is>
      </c>
      <c r="F2" s="36" t="inlineStr">
        <is>
          <t>en</t>
        </is>
      </c>
      <c r="G2" s="36" t="inlineStr">
        <is>
          <t>farmer</t>
        </is>
      </c>
      <c r="H2" s="38" t="n">
        <v>46315.75833333333</v>
      </c>
      <c r="I2" s="36" t="inlineStr">
        <is>
          <t>yes</t>
        </is>
      </c>
    </row>
    <row r="3" ht="23.85" customHeight="1" s="20">
      <c r="A3" s="36" t="inlineStr">
        <is>
          <t>R0004</t>
        </is>
      </c>
      <c r="B3" s="36" t="inlineStr">
        <is>
          <t>quantity</t>
        </is>
      </c>
      <c r="C3" s="36" t="n">
        <v>40</v>
      </c>
      <c r="D3" s="36" t="n">
        <v>14</v>
      </c>
      <c r="E3" s="37" t="inlineStr">
        <is>
          <t>Farmer said 'catorce' (14). 40 kg on 4.2 ha ≈ 9.5 kg/ha, above usual copper range for almond. Scribe transcript confirms 14.</t>
        </is>
      </c>
      <c r="F3" s="36" t="inlineStr">
        <is>
          <t>en</t>
        </is>
      </c>
      <c r="G3" s="36" t="inlineStr">
        <is>
          <t>agronomist</t>
        </is>
      </c>
      <c r="H3" s="38" t="n">
        <v>46316.81944444445</v>
      </c>
      <c r="I3" s="36" t="inlineStr">
        <is>
          <t>yes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0" customWidth="1" style="19" min="2" max="2"/>
    <col width="22" customWidth="1" style="19" min="3" max="3"/>
    <col width="26" customWidth="1" style="19" min="4" max="4"/>
    <col width="24" customWidth="1" style="19" min="5" max="6"/>
  </cols>
  <sheetData>
    <row r="1" ht="30" customHeight="1" s="20">
      <c r="A1" s="24" t="inlineStr">
        <is>
          <t>key</t>
        </is>
      </c>
      <c r="B1" s="24" t="inlineStr">
        <is>
          <t>type</t>
        </is>
      </c>
      <c r="C1" s="24" t="inlineStr">
        <is>
          <t>en</t>
        </is>
      </c>
      <c r="D1" s="24" t="inlineStr">
        <is>
          <t>ca</t>
        </is>
      </c>
      <c r="E1" s="24" t="inlineStr">
        <is>
          <t>es</t>
        </is>
      </c>
      <c r="F1" s="24" t="inlineStr">
        <is>
          <t>ru</t>
        </is>
      </c>
    </row>
    <row r="2" ht="15" customHeight="1" s="20">
      <c r="A2" s="25" t="inlineStr">
        <is>
          <t>treatment</t>
        </is>
      </c>
      <c r="B2" s="25" t="inlineStr">
        <is>
          <t>activity</t>
        </is>
      </c>
      <c r="C2" s="25" t="inlineStr">
        <is>
          <t>Phytosanitary treatment</t>
        </is>
      </c>
      <c r="D2" s="25" t="inlineStr">
        <is>
          <t>Tractament fitosanitari</t>
        </is>
      </c>
      <c r="E2" s="25" t="inlineStr">
        <is>
          <t>Tratamiento fitosanitario</t>
        </is>
      </c>
      <c r="F2" s="25" t="inlineStr">
        <is>
          <t>Обработка СЗР</t>
        </is>
      </c>
    </row>
    <row r="3" ht="15" customHeight="1" s="20">
      <c r="A3" s="25" t="inlineStr">
        <is>
          <t>fertilization</t>
        </is>
      </c>
      <c r="B3" s="25" t="inlineStr">
        <is>
          <t>activity</t>
        </is>
      </c>
      <c r="C3" s="25" t="inlineStr">
        <is>
          <t>Fertilisation</t>
        </is>
      </c>
      <c r="D3" s="25" t="inlineStr">
        <is>
          <t>Fertilització</t>
        </is>
      </c>
      <c r="E3" s="25" t="inlineStr">
        <is>
          <t>Fertilización</t>
        </is>
      </c>
      <c r="F3" s="25" t="inlineStr">
        <is>
          <t>Внесение удобрений</t>
        </is>
      </c>
    </row>
    <row r="4" ht="15" customHeight="1" s="20">
      <c r="A4" s="25" t="inlineStr">
        <is>
          <t>irrigation</t>
        </is>
      </c>
      <c r="B4" s="25" t="inlineStr">
        <is>
          <t>activity</t>
        </is>
      </c>
      <c r="C4" s="25" t="inlineStr">
        <is>
          <t>Irrigation</t>
        </is>
      </c>
      <c r="D4" s="25" t="inlineStr">
        <is>
          <t>Reg</t>
        </is>
      </c>
      <c r="E4" s="25" t="inlineStr">
        <is>
          <t>Riego</t>
        </is>
      </c>
      <c r="F4" s="25" t="inlineStr">
        <is>
          <t>Полив</t>
        </is>
      </c>
    </row>
    <row r="5" ht="15" customHeight="1" s="20">
      <c r="A5" s="25" t="inlineStr">
        <is>
          <t>harvest</t>
        </is>
      </c>
      <c r="B5" s="25" t="inlineStr">
        <is>
          <t>activity</t>
        </is>
      </c>
      <c r="C5" s="25" t="inlineStr">
        <is>
          <t>Harvest</t>
        </is>
      </c>
      <c r="D5" s="25" t="inlineStr">
        <is>
          <t>Collita</t>
        </is>
      </c>
      <c r="E5" s="25" t="inlineStr">
        <is>
          <t>Cosecha</t>
        </is>
      </c>
      <c r="F5" s="25" t="inlineStr">
        <is>
          <t>Сбор урожая</t>
        </is>
      </c>
    </row>
    <row r="6" ht="15" customHeight="1" s="20">
      <c r="A6" s="25" t="inlineStr">
        <is>
          <t>labour</t>
        </is>
      </c>
      <c r="B6" s="25" t="inlineStr">
        <is>
          <t>activity</t>
        </is>
      </c>
      <c r="C6" s="25" t="inlineStr">
        <is>
          <t>Cultural work</t>
        </is>
      </c>
      <c r="D6" s="25" t="inlineStr">
        <is>
          <t>Labors culturals</t>
        </is>
      </c>
      <c r="E6" s="25" t="inlineStr">
        <is>
          <t>Labores culturales</t>
        </is>
      </c>
      <c r="F6" s="25" t="inlineStr">
        <is>
          <t>Полевые работы</t>
        </is>
      </c>
    </row>
    <row r="7" ht="15" customHeight="1" s="20">
      <c r="A7" s="25" t="inlineStr">
        <is>
          <t>sowing</t>
        </is>
      </c>
      <c r="B7" s="25" t="inlineStr">
        <is>
          <t>activity</t>
        </is>
      </c>
      <c r="C7" s="25" t="inlineStr">
        <is>
          <t>Sowing / planting</t>
        </is>
      </c>
      <c r="D7" s="25" t="inlineStr">
        <is>
          <t>Sembra / plantació</t>
        </is>
      </c>
      <c r="E7" s="25" t="inlineStr">
        <is>
          <t>Siembra / plantación</t>
        </is>
      </c>
      <c r="F7" s="25" t="inlineStr">
        <is>
          <t>Посев / посадка</t>
        </is>
      </c>
    </row>
    <row r="8" ht="15" customHeight="1" s="20">
      <c r="A8" s="25" t="inlineStr">
        <is>
          <t>other</t>
        </is>
      </c>
      <c r="B8" s="25" t="inlineStr">
        <is>
          <t>activity</t>
        </is>
      </c>
      <c r="C8" s="25" t="inlineStr">
        <is>
          <t>Other</t>
        </is>
      </c>
      <c r="D8" s="25" t="inlineStr">
        <is>
          <t>Altres</t>
        </is>
      </c>
      <c r="E8" s="25" t="inlineStr">
        <is>
          <t>Otros</t>
        </is>
      </c>
      <c r="F8" s="25" t="inlineStr">
        <is>
          <t>Другое</t>
        </is>
      </c>
    </row>
    <row r="9" ht="15" customHeight="1" s="20">
      <c r="A9" s="25" t="inlineStr">
        <is>
          <t>peach</t>
        </is>
      </c>
      <c r="B9" s="25" t="inlineStr">
        <is>
          <t>crop</t>
        </is>
      </c>
      <c r="C9" s="25" t="inlineStr">
        <is>
          <t>Peach</t>
        </is>
      </c>
      <c r="D9" s="25" t="inlineStr">
        <is>
          <t>Presseguer</t>
        </is>
      </c>
      <c r="E9" s="25" t="inlineStr">
        <is>
          <t>Melocotonero</t>
        </is>
      </c>
      <c r="F9" s="25" t="inlineStr">
        <is>
          <t>Персик</t>
        </is>
      </c>
    </row>
    <row r="10" ht="15" customHeight="1" s="20">
      <c r="A10" s="25" t="inlineStr">
        <is>
          <t>apple</t>
        </is>
      </c>
      <c r="B10" s="25" t="inlineStr">
        <is>
          <t>crop</t>
        </is>
      </c>
      <c r="C10" s="25" t="inlineStr">
        <is>
          <t>Apple</t>
        </is>
      </c>
      <c r="D10" s="25" t="inlineStr">
        <is>
          <t>Pomera</t>
        </is>
      </c>
      <c r="E10" s="25" t="inlineStr">
        <is>
          <t>Manzano</t>
        </is>
      </c>
      <c r="F10" s="25" t="inlineStr">
        <is>
          <t>Яблоня</t>
        </is>
      </c>
    </row>
    <row r="11" ht="15" customHeight="1" s="20">
      <c r="A11" s="25" t="inlineStr">
        <is>
          <t>pear</t>
        </is>
      </c>
      <c r="B11" s="25" t="inlineStr">
        <is>
          <t>crop</t>
        </is>
      </c>
      <c r="C11" s="25" t="inlineStr">
        <is>
          <t>Pear</t>
        </is>
      </c>
      <c r="D11" s="25" t="inlineStr">
        <is>
          <t>Perera</t>
        </is>
      </c>
      <c r="E11" s="25" t="inlineStr">
        <is>
          <t>Peral</t>
        </is>
      </c>
      <c r="F11" s="25" t="inlineStr">
        <is>
          <t>Груша</t>
        </is>
      </c>
    </row>
    <row r="12" ht="15" customHeight="1" s="20">
      <c r="A12" s="25" t="inlineStr">
        <is>
          <t>olive</t>
        </is>
      </c>
      <c r="B12" s="25" t="inlineStr">
        <is>
          <t>crop</t>
        </is>
      </c>
      <c r="C12" s="25" t="inlineStr">
        <is>
          <t>Olive</t>
        </is>
      </c>
      <c r="D12" s="25" t="inlineStr">
        <is>
          <t>Olivera</t>
        </is>
      </c>
      <c r="E12" s="25" t="inlineStr">
        <is>
          <t>Olivo</t>
        </is>
      </c>
      <c r="F12" s="25" t="inlineStr">
        <is>
          <t>Олива</t>
        </is>
      </c>
    </row>
    <row r="13" ht="15" customHeight="1" s="20">
      <c r="A13" s="25" t="inlineStr">
        <is>
          <t>almond</t>
        </is>
      </c>
      <c r="B13" s="25" t="inlineStr">
        <is>
          <t>crop</t>
        </is>
      </c>
      <c r="C13" s="25" t="inlineStr">
        <is>
          <t>Almond</t>
        </is>
      </c>
      <c r="D13" s="25" t="inlineStr">
        <is>
          <t>Ametller</t>
        </is>
      </c>
      <c r="E13" s="25" t="inlineStr">
        <is>
          <t>Almendro</t>
        </is>
      </c>
      <c r="F13" s="25" t="inlineStr">
        <is>
          <t>Миндаль</t>
        </is>
      </c>
    </row>
    <row r="14" ht="15" customHeight="1" s="20">
      <c r="A14" s="25" t="inlineStr">
        <is>
          <t>bacterial_canker</t>
        </is>
      </c>
      <c r="B14" s="25" t="inlineStr">
        <is>
          <t>pest</t>
        </is>
      </c>
      <c r="C14" s="25" t="inlineStr">
        <is>
          <t>Bacterial canker</t>
        </is>
      </c>
      <c r="D14" s="25" t="inlineStr">
        <is>
          <t>Xancre bacterià</t>
        </is>
      </c>
      <c r="E14" s="25" t="inlineStr">
        <is>
          <t>Chancro bacteriano</t>
        </is>
      </c>
      <c r="F14" s="25" t="inlineStr">
        <is>
          <t>Бактериальный рак</t>
        </is>
      </c>
    </row>
    <row r="15" ht="15" customHeight="1" s="20">
      <c r="A15" s="25" t="inlineStr">
        <is>
          <t>powdery_mildew</t>
        </is>
      </c>
      <c r="B15" s="25" t="inlineStr">
        <is>
          <t>pest</t>
        </is>
      </c>
      <c r="C15" s="25" t="inlineStr">
        <is>
          <t>Powdery mildew</t>
        </is>
      </c>
      <c r="D15" s="25" t="inlineStr">
        <is>
          <t>Oïdi</t>
        </is>
      </c>
      <c r="E15" s="25" t="inlineStr">
        <is>
          <t>Oídio</t>
        </is>
      </c>
      <c r="F15" s="25" t="inlineStr">
        <is>
          <t>Мучнистая роса</t>
        </is>
      </c>
    </row>
    <row r="16" ht="15" customHeight="1" s="20">
      <c r="A16" s="25" t="inlineStr">
        <is>
          <t>leaf_curl</t>
        </is>
      </c>
      <c r="B16" s="25" t="inlineStr">
        <is>
          <t>pest</t>
        </is>
      </c>
      <c r="C16" s="25" t="inlineStr">
        <is>
          <t>Peach leaf curl</t>
        </is>
      </c>
      <c r="D16" s="25" t="inlineStr">
        <is>
          <t>Arrissat del presseguer</t>
        </is>
      </c>
      <c r="E16" s="25" t="inlineStr">
        <is>
          <t>Lepra del melocotonero</t>
        </is>
      </c>
      <c r="F16" s="25" t="inlineStr">
        <is>
          <t>Курчавость листьев</t>
        </is>
      </c>
    </row>
    <row r="17" ht="15" customHeight="1" s="20">
      <c r="A17" s="25" t="inlineStr">
        <is>
          <t>fungal_general</t>
        </is>
      </c>
      <c r="B17" s="25" t="inlineStr">
        <is>
          <t>pest</t>
        </is>
      </c>
      <c r="C17" s="25" t="inlineStr">
        <is>
          <t>Fungal diseases (general)</t>
        </is>
      </c>
      <c r="D17" s="25" t="inlineStr">
        <is>
          <t>Malalties fúngiques</t>
        </is>
      </c>
      <c r="E17" s="25" t="inlineStr">
        <is>
          <t>Enfermedades fúngicas</t>
        </is>
      </c>
      <c r="F17" s="25" t="inlineStr">
        <is>
          <t>Грибковые болезни</t>
        </is>
      </c>
    </row>
    <row r="18" ht="15" customHeight="1" s="20">
      <c r="A18" s="25" t="inlineStr">
        <is>
          <t>none</t>
        </is>
      </c>
      <c r="B18" s="25" t="inlineStr">
        <is>
          <t>pest</t>
        </is>
      </c>
      <c r="C18" s="25" t="n"/>
      <c r="D18" s="25" t="n"/>
      <c r="E18" s="25" t="n"/>
      <c r="F18" s="25" t="n"/>
    </row>
    <row r="19" ht="15" customHeight="1" s="20">
      <c r="A19" s="25" t="inlineStr">
        <is>
          <t>unknown</t>
        </is>
      </c>
      <c r="B19" s="25" t="inlineStr">
        <is>
          <t>any</t>
        </is>
      </c>
      <c r="C19" s="25" t="inlineStr">
        <is>
          <t>UNKNOWN — review</t>
        </is>
      </c>
      <c r="D19" s="25" t="inlineStr">
        <is>
          <t>DESCONEGUT — revisar</t>
        </is>
      </c>
      <c r="E19" s="25" t="inlineStr">
        <is>
          <t>DESCONOCIDO — revisar</t>
        </is>
      </c>
      <c r="F19" s="25" t="inlineStr">
        <is>
          <t>НЕИЗВЕСТНО — проверить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19" min="1" max="1"/>
    <col width="36" customWidth="1" style="19" min="2" max="5"/>
  </cols>
  <sheetData>
    <row r="1" ht="30" customHeight="1" s="20">
      <c r="A1" s="24" t="inlineStr">
        <is>
          <t>key</t>
        </is>
      </c>
      <c r="B1" s="24" t="inlineStr">
        <is>
          <t>en</t>
        </is>
      </c>
      <c r="C1" s="24" t="inlineStr">
        <is>
          <t>ca</t>
        </is>
      </c>
      <c r="D1" s="24" t="inlineStr">
        <is>
          <t>es</t>
        </is>
      </c>
      <c r="E1" s="24" t="inlineStr">
        <is>
          <t>ru</t>
        </is>
      </c>
    </row>
    <row r="2" ht="15" customHeight="1" s="20">
      <c r="A2" s="35" t="inlineStr">
        <is>
          <t>card_title</t>
        </is>
      </c>
      <c r="B2" s="35" t="inlineStr">
        <is>
          <t>New record</t>
        </is>
      </c>
      <c r="C2" s="35" t="inlineStr">
        <is>
          <t>Nou registre</t>
        </is>
      </c>
      <c r="D2" s="35" t="inlineStr">
        <is>
          <t>Nuevo registro</t>
        </is>
      </c>
      <c r="E2" s="35" t="inlineStr">
        <is>
          <t>Новая запись</t>
        </is>
      </c>
    </row>
    <row r="3" ht="15" customHeight="1" s="20">
      <c r="A3" s="35" t="inlineStr">
        <is>
          <t>date</t>
        </is>
      </c>
      <c r="B3" s="35" t="inlineStr">
        <is>
          <t>Date</t>
        </is>
      </c>
      <c r="C3" s="35" t="inlineStr">
        <is>
          <t>Data</t>
        </is>
      </c>
      <c r="D3" s="35" t="inlineStr">
        <is>
          <t>Fecha</t>
        </is>
      </c>
      <c r="E3" s="35" t="inlineStr">
        <is>
          <t>Дата</t>
        </is>
      </c>
    </row>
    <row r="4" ht="15" customHeight="1" s="20">
      <c r="A4" s="35" t="inlineStr">
        <is>
          <t>parcel</t>
        </is>
      </c>
      <c r="B4" s="35" t="inlineStr">
        <is>
          <t>Parcel</t>
        </is>
      </c>
      <c r="C4" s="35" t="inlineStr">
        <is>
          <t>Parcel·la</t>
        </is>
      </c>
      <c r="D4" s="35" t="inlineStr">
        <is>
          <t>Parcela</t>
        </is>
      </c>
      <c r="E4" s="35" t="inlineStr">
        <is>
          <t>Участок</t>
        </is>
      </c>
    </row>
    <row r="5" ht="15" customHeight="1" s="20">
      <c r="A5" s="35" t="inlineStr">
        <is>
          <t>crop</t>
        </is>
      </c>
      <c r="B5" s="35" t="inlineStr">
        <is>
          <t>Crop</t>
        </is>
      </c>
      <c r="C5" s="35" t="inlineStr">
        <is>
          <t>Cultiu</t>
        </is>
      </c>
      <c r="D5" s="35" t="inlineStr">
        <is>
          <t>Cultivo</t>
        </is>
      </c>
      <c r="E5" s="35" t="inlineStr">
        <is>
          <t>Культура</t>
        </is>
      </c>
    </row>
    <row r="6" ht="15" customHeight="1" s="20">
      <c r="A6" s="35" t="inlineStr">
        <is>
          <t>activity</t>
        </is>
      </c>
      <c r="B6" s="35" t="inlineStr">
        <is>
          <t>Activity</t>
        </is>
      </c>
      <c r="C6" s="35" t="inlineStr">
        <is>
          <t>Activitat</t>
        </is>
      </c>
      <c r="D6" s="35" t="inlineStr">
        <is>
          <t>Actividad</t>
        </is>
      </c>
      <c r="E6" s="35" t="inlineStr">
        <is>
          <t>Работа</t>
        </is>
      </c>
    </row>
    <row r="7" ht="15" customHeight="1" s="20">
      <c r="A7" s="35" t="inlineStr">
        <is>
          <t>product</t>
        </is>
      </c>
      <c r="B7" s="35" t="inlineStr">
        <is>
          <t>Product</t>
        </is>
      </c>
      <c r="C7" s="35" t="inlineStr">
        <is>
          <t>Producte</t>
        </is>
      </c>
      <c r="D7" s="35" t="inlineStr">
        <is>
          <t>Producto</t>
        </is>
      </c>
      <c r="E7" s="35" t="inlineStr">
        <is>
          <t>Препарат</t>
        </is>
      </c>
    </row>
    <row r="8" ht="15" customHeight="1" s="20">
      <c r="A8" s="35" t="inlineStr">
        <is>
          <t>area</t>
        </is>
      </c>
      <c r="B8" s="35" t="inlineStr">
        <is>
          <t>Area</t>
        </is>
      </c>
      <c r="C8" s="35" t="inlineStr">
        <is>
          <t>Superfície</t>
        </is>
      </c>
      <c r="D8" s="35" t="inlineStr">
        <is>
          <t>Superficie</t>
        </is>
      </c>
      <c r="E8" s="35" t="inlineStr">
        <is>
          <t>Площадь</t>
        </is>
      </c>
    </row>
    <row r="9" ht="15" customHeight="1" s="20">
      <c r="A9" s="35" t="inlineStr">
        <is>
          <t>btn_ok</t>
        </is>
      </c>
      <c r="B9" s="35" t="inlineStr">
        <is>
          <t>✅ Correct</t>
        </is>
      </c>
      <c r="C9" s="35" t="inlineStr">
        <is>
          <t>✅ Correcte</t>
        </is>
      </c>
      <c r="D9" s="35" t="inlineStr">
        <is>
          <t>✅ Correcto</t>
        </is>
      </c>
      <c r="E9" s="35" t="inlineStr">
        <is>
          <t>✅ Верно</t>
        </is>
      </c>
    </row>
    <row r="10" ht="15" customHeight="1" s="20">
      <c r="A10" s="35" t="inlineStr">
        <is>
          <t>btn_edit</t>
        </is>
      </c>
      <c r="B10" s="35" t="inlineStr">
        <is>
          <t>✏️ Edit</t>
        </is>
      </c>
      <c r="C10" s="35" t="inlineStr">
        <is>
          <t>✏️ Editar</t>
        </is>
      </c>
      <c r="D10" s="35" t="inlineStr">
        <is>
          <t>✏️ Editar</t>
        </is>
      </c>
      <c r="E10" s="35" t="inlineStr">
        <is>
          <t>✏️ Исправить</t>
        </is>
      </c>
    </row>
    <row r="11" ht="15" customHeight="1" s="20">
      <c r="A11" s="35" t="inlineStr">
        <is>
          <t>btn_discard</t>
        </is>
      </c>
      <c r="B11" s="35" t="inlineStr">
        <is>
          <t>❌ Discard</t>
        </is>
      </c>
      <c r="C11" s="35" t="inlineStr">
        <is>
          <t>❌ Descartar</t>
        </is>
      </c>
      <c r="D11" s="35" t="inlineStr">
        <is>
          <t>❌ Descartar</t>
        </is>
      </c>
      <c r="E11" s="35" t="inlineStr">
        <is>
          <t>❌ Отменить</t>
        </is>
      </c>
    </row>
    <row r="12" ht="15" customHeight="1" s="20">
      <c r="A12" s="35" t="inlineStr">
        <is>
          <t>ask_parcel</t>
        </is>
      </c>
      <c r="B12" s="35" t="inlineStr">
        <is>
          <t>Which parcel?</t>
        </is>
      </c>
      <c r="C12" s="35" t="inlineStr">
        <is>
          <t>Quina parcel·la?</t>
        </is>
      </c>
      <c r="D12" s="35" t="inlineStr">
        <is>
          <t>¿Qué parcela?</t>
        </is>
      </c>
      <c r="E12" s="35" t="inlineStr">
        <is>
          <t>Какой участок?</t>
        </is>
      </c>
    </row>
    <row r="13" ht="15" customHeight="1" s="20">
      <c r="A13" s="35" t="inlineStr">
        <is>
          <t>ask_quantity</t>
        </is>
      </c>
      <c r="B13" s="35" t="inlineStr">
        <is>
          <t>How much did you use?</t>
        </is>
      </c>
      <c r="C13" s="35" t="inlineStr">
        <is>
          <t>Quanta quantitat has fet servir?</t>
        </is>
      </c>
      <c r="D13" s="35" t="inlineStr">
        <is>
          <t>¿Qué cantidad has usado?</t>
        </is>
      </c>
      <c r="E13" s="35" t="inlineStr">
        <is>
          <t>Сколько использовали?</t>
        </is>
      </c>
    </row>
    <row r="14" ht="15" customHeight="1" s="20">
      <c r="A14" s="35" t="inlineStr">
        <is>
          <t>not_understood</t>
        </is>
      </c>
      <c r="B14" s="35" t="inlineStr">
        <is>
          <t>I couldn't understand, could you repeat?</t>
        </is>
      </c>
      <c r="C14" s="35" t="inlineStr">
        <is>
          <t>No t'he entès, ho pots repetir?</t>
        </is>
      </c>
      <c r="D14" s="35" t="inlineStr">
        <is>
          <t>No te he entendido, ¿puedes repetirlo?</t>
        </is>
      </c>
      <c r="E14" s="35" t="inlineStr">
        <is>
          <t>Не понял, можете повторить?</t>
        </is>
      </c>
    </row>
    <row r="15" ht="15" customHeight="1" s="20">
      <c r="A15" s="35" t="inlineStr">
        <is>
          <t>saved</t>
        </is>
      </c>
      <c r="B15" s="35" t="inlineStr">
        <is>
          <t>Saved. Thank you!</t>
        </is>
      </c>
      <c r="C15" s="35" t="inlineStr">
        <is>
          <t>Desat. Gràcies!</t>
        </is>
      </c>
      <c r="D15" s="35" t="inlineStr">
        <is>
          <t>Guardado. ¡Gracias!</t>
        </is>
      </c>
      <c r="E15" s="35" t="inlineStr">
        <is>
          <t>Сохранено. Спасибо!</t>
        </is>
      </c>
    </row>
    <row r="16" ht="23.85" customHeight="1" s="20">
      <c r="A16" s="35" t="inlineStr">
        <is>
          <t>changed_by_expert</t>
        </is>
      </c>
      <c r="B16" s="35" t="inlineStr">
        <is>
          <t>Your agronomist changed {field}: {before} → {after}</t>
        </is>
      </c>
      <c r="C16" s="35" t="inlineStr">
        <is>
          <t>El teu tècnic ha canviat {field}: {before} → {after}</t>
        </is>
      </c>
      <c r="D16" s="35" t="inlineStr">
        <is>
          <t>Tu técnico ha cambiado {field}: {before} → {after}</t>
        </is>
      </c>
      <c r="E16" s="35" t="inlineStr">
        <is>
          <t>Агроном изменил {field}: {before} → {after}</t>
        </is>
      </c>
    </row>
    <row r="17" ht="15" customHeight="1" s="20">
      <c r="A17" s="35" t="inlineStr">
        <is>
          <t>quantity</t>
        </is>
      </c>
      <c r="B17" s="35" t="inlineStr">
        <is>
          <t>Quantity</t>
        </is>
      </c>
      <c r="C17" s="35" t="inlineStr">
        <is>
          <t>Quantitat</t>
        </is>
      </c>
      <c r="D17" s="35" t="inlineStr">
        <is>
          <t>Cantidad</t>
        </is>
      </c>
      <c r="E17" s="35" t="inlineStr">
        <is>
          <t>Количество</t>
        </is>
      </c>
    </row>
    <row r="18" ht="15" customHeight="1" s="20">
      <c r="A18" s="35" t="inlineStr">
        <is>
          <t>dose</t>
        </is>
      </c>
      <c r="B18" s="35" t="inlineStr">
        <is>
          <t>Dose</t>
        </is>
      </c>
      <c r="C18" s="35" t="inlineStr">
        <is>
          <t>Dosi</t>
        </is>
      </c>
      <c r="D18" s="35" t="inlineStr">
        <is>
          <t>Dosis</t>
        </is>
      </c>
      <c r="E18" s="35" t="inlineStr">
        <is>
          <t>Доза</t>
        </is>
      </c>
    </row>
    <row r="19" ht="15" customHeight="1" s="20">
      <c r="A19" s="35" t="inlineStr">
        <is>
          <t>pest</t>
        </is>
      </c>
      <c r="B19" s="35" t="inlineStr">
        <is>
          <t>Target</t>
        </is>
      </c>
      <c r="C19" s="35" t="inlineStr">
        <is>
          <t>Objectiu</t>
        </is>
      </c>
      <c r="D19" s="35" t="inlineStr">
        <is>
          <t>Objetivo</t>
        </is>
      </c>
      <c r="E19" s="35" t="inlineStr">
        <is>
          <t>Цель обработки</t>
        </is>
      </c>
    </row>
    <row r="20" ht="23.85" customHeight="1" s="20">
      <c r="A20" s="35" t="inlineStr">
        <is>
          <t>welcome</t>
        </is>
      </c>
      <c r="B20" s="35" t="inlineStr">
        <is>
          <t>Hi! Send me a voice note about your work in the field.</t>
        </is>
      </c>
      <c r="C20" s="35" t="inlineStr">
        <is>
          <t>Hola! Envia'm una nota de veu sobre la feina al camp.</t>
        </is>
      </c>
      <c r="D20" s="35" t="inlineStr">
        <is>
          <t>¡Hola! Envíame una nota de voz sobre tu trabajo en el campo.</t>
        </is>
      </c>
      <c r="E20" s="35" t="inlineStr">
        <is>
          <t>Привет! Отправьте голосовое сообщение о работе в поле.</t>
        </is>
      </c>
    </row>
    <row r="21" ht="15" customHeight="1" s="20">
      <c r="A21" s="35" t="inlineStr">
        <is>
          <t>ask_name</t>
        </is>
      </c>
      <c r="B21" s="35" t="inlineStr">
        <is>
          <t>What's your name?</t>
        </is>
      </c>
      <c r="C21" s="35" t="inlineStr">
        <is>
          <t>Com et dius?</t>
        </is>
      </c>
      <c r="D21" s="35" t="inlineStr">
        <is>
          <t>¿Cómo te llamas?</t>
        </is>
      </c>
      <c r="E21" s="35" t="inlineStr">
        <is>
          <t>Как вас зовут?</t>
        </is>
      </c>
    </row>
    <row r="22" ht="15" customHeight="1" s="20">
      <c r="A22" s="35" t="inlineStr">
        <is>
          <t>ask_date</t>
        </is>
      </c>
      <c r="B22" s="35" t="inlineStr">
        <is>
          <t>When did you do it?</t>
        </is>
      </c>
      <c r="C22" s="35" t="inlineStr">
        <is>
          <t>Quan ho vas fer?</t>
        </is>
      </c>
      <c r="D22" s="35" t="inlineStr">
        <is>
          <t>¿Cuándo lo hiciste?</t>
        </is>
      </c>
      <c r="E22" s="35" t="inlineStr">
        <is>
          <t>Когда это было?</t>
        </is>
      </c>
    </row>
    <row r="23" ht="15" customHeight="1" s="20">
      <c r="A23" s="35" t="inlineStr">
        <is>
          <t>ask_product</t>
        </is>
      </c>
      <c r="B23" s="35" t="inlineStr">
        <is>
          <t>Which product did you use?</t>
        </is>
      </c>
      <c r="C23" s="35" t="inlineStr">
        <is>
          <t>Quin producte has fet servir?</t>
        </is>
      </c>
      <c r="D23" s="35" t="inlineStr">
        <is>
          <t>¿Qué producto has usado?</t>
        </is>
      </c>
      <c r="E23" s="35" t="inlineStr">
        <is>
          <t>Какой препарат использовали?</t>
        </is>
      </c>
    </row>
    <row r="24" ht="15" customHeight="1" s="20">
      <c r="A24" s="35" t="inlineStr">
        <is>
          <t>ask_fix</t>
        </is>
      </c>
      <c r="B24" s="35" t="inlineStr">
        <is>
          <t>What should I change? Say it or type it.</t>
        </is>
      </c>
      <c r="C24" s="35" t="inlineStr">
        <is>
          <t>Què he de canviar? Digues-ho o escriu-ho.</t>
        </is>
      </c>
      <c r="D24" s="35" t="inlineStr">
        <is>
          <t>¿Qué cambio? Dímelo o escríbelo.</t>
        </is>
      </c>
      <c r="E24" s="35" t="inlineStr">
        <is>
          <t>Что исправить? Скажите или напишите.</t>
        </is>
      </c>
    </row>
    <row r="25" ht="15" customHeight="1" s="20">
      <c r="A25" s="35" t="inlineStr">
        <is>
          <t>records_found</t>
        </is>
      </c>
      <c r="B25" s="35" t="inlineStr">
        <is>
          <t>{n} records found</t>
        </is>
      </c>
      <c r="C25" s="35" t="inlineStr">
        <is>
          <t>{n} registres trobats</t>
        </is>
      </c>
      <c r="D25" s="35" t="inlineStr">
        <is>
          <t>{n} registros encontrados</t>
        </is>
      </c>
      <c r="E25" s="35" t="inlineStr">
        <is>
          <t>Найдено записей: {n}</t>
        </is>
      </c>
    </row>
    <row r="26" ht="35.05" customHeight="1" s="20">
      <c r="A26" s="35" t="inlineStr">
        <is>
          <t>not_farm_activity</t>
        </is>
      </c>
      <c r="B26" s="35" t="inlineStr">
        <is>
          <t>I didn't find any field work in that message. Try: "Today I watered parcel 2, 100 cubic metres."</t>
        </is>
      </c>
      <c r="C26" s="35" t="inlineStr">
        <is>
          <t>No he trobat cap feina de camp en el missatge. Prova: "Avui he regat la parcel·la 2, 100 metres cúbics."</t>
        </is>
      </c>
      <c r="D26" s="35" t="inlineStr">
        <is>
          <t>No he encontrado trabajo de campo en el mensaje. Prueba: "Hoy he regado la parcela 2, 100 metros cúbicos."</t>
        </is>
      </c>
      <c r="E26" s="35" t="inlineStr">
        <is>
          <t>Не нашёл полевых работ в сообщении. Попробуйте: «Сегодня полил второй участок, 100 кубометров».</t>
        </is>
      </c>
    </row>
    <row r="27" ht="15" customHeight="1" s="20">
      <c r="A27" s="35" t="inlineStr">
        <is>
          <t>discarded</t>
        </is>
      </c>
      <c r="B27" s="35" t="inlineStr">
        <is>
          <t>Discarded.</t>
        </is>
      </c>
      <c r="C27" s="35" t="inlineStr">
        <is>
          <t>Descartat.</t>
        </is>
      </c>
      <c r="D27" s="35" t="inlineStr">
        <is>
          <t>Descartado.</t>
        </is>
      </c>
      <c r="E27" s="35" t="inlineStr">
        <is>
          <t>Отменено.</t>
        </is>
      </c>
    </row>
    <row r="28" ht="23.85" customHeight="1" s="20">
      <c r="A28" s="35" t="inlineStr">
        <is>
          <t>summary_today</t>
        </is>
      </c>
      <c r="B28" s="35" t="inlineStr">
        <is>
          <t>Today: {n} records, {r} need review.</t>
        </is>
      </c>
      <c r="C28" s="35" t="inlineStr">
        <is>
          <t>Avui: {n} registres, {r} pendents de revisió.</t>
        </is>
      </c>
      <c r="D28" s="35" t="inlineStr">
        <is>
          <t>Hoy: {n} registros, {r} pendientes de revisión.</t>
        </is>
      </c>
      <c r="E28" s="35" t="inlineStr">
        <is>
          <t>Сегодня: записей {n}, на проверке {r}.</t>
        </is>
      </c>
    </row>
    <row r="29">
      <c r="A29" s="35" t="inlineStr">
        <is>
          <t>start_hello</t>
        </is>
      </c>
      <c r="B29" s="35" t="inlineStr">
        <is>
          <t>Hi {name}! Today is {date}.</t>
        </is>
      </c>
      <c r="C29" s="35" t="inlineStr">
        <is>
          <t>Hola {name}! Avui és {date}.</t>
        </is>
      </c>
      <c r="D29" s="35" t="inlineStr">
        <is>
          <t>¡Hola {name}! Hoy es {date}.</t>
        </is>
      </c>
      <c r="E29" s="35" t="inlineStr">
        <is>
          <t>Привет, {name}! Сегодня {date}.</t>
        </is>
      </c>
    </row>
    <row r="30">
      <c r="A30" s="35" t="inlineStr">
        <is>
          <t>start_parcels</t>
        </is>
      </c>
      <c r="B30" s="35" t="inlineStr">
        <is>
          <t>🌱 Your parcels (DUN {campaign}):</t>
        </is>
      </c>
      <c r="C30" s="35" t="inlineStr">
        <is>
          <t>🌱 Les teves parcel·les (DUN {campaign}):</t>
        </is>
      </c>
      <c r="D30" s="35" t="inlineStr">
        <is>
          <t>🌱 Tus parcelas (DUN {campaign}):</t>
        </is>
      </c>
      <c r="E30" s="35" t="inlineStr">
        <is>
          <t>🌱 Ваши участки (DUN {campaign}):</t>
        </is>
      </c>
    </row>
    <row r="31">
      <c r="A31" s="35" t="inlineStr">
        <is>
          <t>start_today</t>
        </is>
      </c>
      <c r="B31" s="35" t="inlineStr">
        <is>
          <t>Logged today: {n} records.</t>
        </is>
      </c>
      <c r="C31" s="35" t="inlineStr">
        <is>
          <t>Registrat avui: {n} registres.</t>
        </is>
      </c>
      <c r="D31" s="35" t="inlineStr">
        <is>
          <t>Registrado hoy: {n} registros.</t>
        </is>
      </c>
      <c r="E31" s="35" t="inlineStr">
        <is>
          <t>Сегодня записано: {n}.</t>
        </is>
      </c>
    </row>
    <row r="32">
      <c r="A32" s="35" t="inlineStr">
        <is>
          <t>start_functions</t>
        </is>
      </c>
      <c r="B32" s="35" t="inlineStr">
        <is>
          <t>What I can do:</t>
        </is>
      </c>
      <c r="C32" s="35" t="inlineStr">
        <is>
          <t>Què puc fer:</t>
        </is>
      </c>
      <c r="D32" s="35" t="inlineStr">
        <is>
          <t>Qué puedo hacer:</t>
        </is>
      </c>
      <c r="E32" s="35" t="inlineStr">
        <is>
          <t>Что я умею:</t>
        </is>
      </c>
    </row>
    <row r="33">
      <c r="A33" s="35" t="inlineStr">
        <is>
          <t>func_voice</t>
        </is>
      </c>
      <c r="B33" s="35" t="inlineStr">
        <is>
          <t>🎤 Send a voice note about your work — I turn it into a record</t>
        </is>
      </c>
      <c r="C33" s="35" t="inlineStr">
        <is>
          <t>🎤 Envia una nota de veu sobre la feina — la converteixo en un registre</t>
        </is>
      </c>
      <c r="D33" s="35" t="inlineStr">
        <is>
          <t>🎤 Envía una nota de voz sobre tu trabajo — la convierto en un registro</t>
        </is>
      </c>
      <c r="E33" s="35" t="inlineStr">
        <is>
          <t>🎤 Отправьте голосовое о работе — я превращу его в запись</t>
        </is>
      </c>
    </row>
    <row r="34">
      <c r="A34" s="35" t="inlineStr">
        <is>
          <t>func_confirm</t>
        </is>
      </c>
      <c r="B34" s="35" t="inlineStr">
        <is>
          <t>✅ Check the card and confirm, or ✏️ say what to fix</t>
        </is>
      </c>
      <c r="C34" s="35" t="inlineStr">
        <is>
          <t>✅ Revisa la fitxa i confirma, o ✏️ digues què cal corregir</t>
        </is>
      </c>
      <c r="D34" s="35" t="inlineStr">
        <is>
          <t>✅ Revisa la ficha y confirma, o ✏️ di qué hay que corregir</t>
        </is>
      </c>
      <c r="E34" s="35" t="inlineStr">
        <is>
          <t>✅ Проверьте карточку и подтвердите или ✏️ скажите, что исправить</t>
        </is>
      </c>
    </row>
    <row r="35">
      <c r="A35" s="35" t="inlineStr">
        <is>
          <t>func_report</t>
        </is>
      </c>
      <c r="B35" s="35" t="inlineStr">
        <is>
          <t>📊 /report — your field log as Excel</t>
        </is>
      </c>
      <c r="C35" s="35" t="inlineStr">
        <is>
          <t>📊 /report — el teu quadern de camp en Excel</t>
        </is>
      </c>
      <c r="D35" s="35" t="inlineStr">
        <is>
          <t>📊 /report — tu cuaderno de campo en Excel</t>
        </is>
      </c>
      <c r="E35" s="35" t="inlineStr">
        <is>
          <t>📊 /report — журнал работ в Excel</t>
        </is>
      </c>
    </row>
    <row r="36">
      <c r="A36" s="35" t="inlineStr">
        <is>
          <t>func_help</t>
        </is>
      </c>
      <c r="B36" s="35" t="inlineStr">
        <is>
          <t>❓ /help — show this message again</t>
        </is>
      </c>
      <c r="C36" s="35" t="inlineStr">
        <is>
          <t>❓ /help — torna a mostrar aquest missatge</t>
        </is>
      </c>
      <c r="D36" s="35" t="inlineStr">
        <is>
          <t>❓ /help — vuelve a mostrar este mensaje</t>
        </is>
      </c>
      <c r="E36" s="35" t="inlineStr">
        <is>
          <t>❓ /help — показать это сообщение снова</t>
        </is>
      </c>
    </row>
    <row r="37">
      <c r="A37" s="35" t="inlineStr">
        <is>
          <t>start_example</t>
        </is>
      </c>
      <c r="B37" s="35" t="inlineStr">
        <is>
          <t>Try: “Today I watered parcel 2, 120 cubic metres.”</t>
        </is>
      </c>
      <c r="C37" s="35" t="inlineStr">
        <is>
          <t>Prova: «Avui he regat la parcel·la 2, 120 metres cúbics.»</t>
        </is>
      </c>
      <c r="D37" s="35" t="inlineStr">
        <is>
          <t>Prueba: «Hoy he regado la parcela 2, 120 metros cúbicos.»</t>
        </is>
      </c>
      <c r="E37" s="35" t="inlineStr">
        <is>
          <t>Например: «Сегодня полил второй участок, 120 кубометров».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2026-10-24T11:51:04Z</dcterms:created>
  <dcterms:modified xsi:type="dcterms:W3CDTF">2026-10-24T14:36:59Z</dcterms:modified>
  <cp:revision>0</cp:revision>
</cp:coreProperties>
</file>