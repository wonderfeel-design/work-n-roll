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comments2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3.vml" ContentType="application/vnd.openxmlformats-officedocument.vmlDrawing"/>
  <Override PartName="/xl/drawings/vmlDrawing2.vml" ContentType="application/vnd.openxmlformats-officedocument.vmlDrawing"/>
  <Override PartName="/xl/comments5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Parcels_DUN" sheetId="2" state="visible" r:id="rId4"/>
    <sheet name="Field_Log" sheetId="3" state="visible" r:id="rId5"/>
    <sheet name="Corrections" sheetId="4" state="visible" r:id="rId6"/>
    <sheet name="Vocabulary" sheetId="5" state="visible" r:id="rId7"/>
    <sheet name="UI_Strings" sheetId="6" state="visible" r:id="rId8"/>
  </sheets>
  <definedNames>
    <definedName function="false" hidden="true" localSheetId="2" name="_xlnm._FilterDatabase" vbProcedure="false">Field_Log!$A$1:$AH$11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How farmers refer to this parcel out loud, in any of the 4 languages. The extractor uses this to map speech → parcel_alias.</t>
        </r>
      </text>
    </comment>
    <comment ref="L1" authorId="0">
      <text>
        <r>
          <rPr>
            <sz val="10"/>
            <rFont val="Arial"/>
            <family val="2"/>
          </rPr>
          <t xml:space="preserve">Format: prov-mun-agregat-zona-polígon-parcel·la-recinte (built by formula).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1" authorId="0">
      <text>
        <r>
          <rPr>
            <sz val="10"/>
            <rFont val="Arial"/>
            <family val="2"/>
          </rPr>
          <t xml:space="preserve">Fake Telegram chat ids for the sample. Column names match the Record schema in app/schemas.py so seed.py can load rows directly.</t>
        </r>
      </text>
    </comment>
    <comment ref="E1" authorId="0">
      <text>
        <r>
          <rPr>
            <sz val="10"/>
            <rFont val="Arial"/>
            <family val="2"/>
          </rPr>
          <t xml:space="preserve">Detected by Gemma from the audio (ISO 639-1: en, ru, ca, es).</t>
        </r>
      </text>
    </comment>
    <comment ref="F1" authorId="0">
      <text>
        <r>
          <rPr>
            <sz val="10"/>
            <rFont val="Arial"/>
            <family val="2"/>
          </rPr>
          <t xml:space="preserve">Language of the confirmation card + ElevenLabs voice. Default = detected lang.</t>
        </r>
      </text>
    </comment>
    <comment ref="I1" authorId="0">
      <text>
        <r>
          <rPr>
            <sz val="10"/>
            <rFont val="Arial"/>
            <family val="2"/>
          </rPr>
          <t xml:space="preserve">Crop declared in DUN for this parcel. Compare with crop_spoken: mismatch = judge flag (see R0007).</t>
        </r>
      </text>
    </comment>
    <comment ref="M1" authorId="0">
      <text>
        <r>
          <rPr>
            <sz val="10"/>
            <rFont val="Arial"/>
            <family val="2"/>
          </rPr>
          <t xml:space="preserve">Declaration fields (_ca / _en) come from Vocabulary lookups — deterministic, not LLM-translated.</t>
        </r>
      </text>
    </comment>
    <comment ref="X1" authorId="0">
      <text>
        <r>
          <rPr>
            <sz val="10"/>
            <rFont val="Arial"/>
            <family val="2"/>
          </rPr>
          <t xml:space="preserve">ROPO applicator card and ROMA equipment ID assumed required for phyto treatments in the CUE — verify.</t>
        </r>
      </text>
    </comment>
    <comment ref="Z1" authorId="0">
      <text>
        <r>
          <rPr>
            <sz val="10"/>
            <rFont val="Arial"/>
            <family val="2"/>
          </rPr>
          <t xml:space="preserve">Free text: translated by Gemma into Catalan and English. Treat as machine translation.</t>
        </r>
      </text>
    </comment>
    <comment ref="AB1" authorId="0">
      <text>
        <r>
          <rPr>
            <sz val="10"/>
            <rFont val="Arial"/>
            <family val="2"/>
          </rPr>
          <t xml:space="preserve">Farmer's exact words in the original language — audit trail, never edited.</t>
        </r>
      </text>
    </comment>
    <comment ref="AC1" authorId="0">
      <text>
        <r>
          <rPr>
            <sz val="10"/>
            <rFont val="Arial"/>
            <family val="2"/>
          </rPr>
          <t xml:space="preserve">Gemma's own extraction confidence (0–1). Different from judge_score, which comes from the validator.</t>
        </r>
      </text>
    </comment>
    <comment ref="AE1" authorId="0">
      <text>
        <r>
          <rPr>
            <sz val="10"/>
            <rFont val="Arial"/>
            <family val="2"/>
          </rPr>
          <t xml:space="preserve">Judge score 0–1. Demo threshold: ≥0.80 auto_approved, else needs_review. Assumption — tune on test data.</t>
        </r>
      </text>
    </comment>
  </commentList>
</comments>
</file>

<file path=xl/comments5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Catalan is the official declaration language (DUN). Draft terms — agronomist review needed.</t>
        </r>
      </text>
    </comment>
  </commentList>
</comments>
</file>

<file path=xl/sharedStrings.xml><?xml version="1.0" encoding="utf-8"?>
<sst xmlns="http://schemas.openxmlformats.org/spreadsheetml/2006/main" count="558" uniqueCount="419">
  <si>
    <t xml:space="preserve">SA.TECH Field Voice — sample tables (DUN parcels + multilingual voice field log)</t>
  </si>
  <si>
    <t xml:space="preserve">All data is FICTIONAL sample data for the hackathon demo. SIGPAC codes, people and registration numbers are invented.</t>
  </si>
  <si>
    <t xml:space="preserve">Tabs</t>
  </si>
  <si>
    <t xml:space="preserve">Parcels_DUN — master list of parcels as declared in the annual DUN (SIGPAC-based). One row per SIGPAC recinte. Filled once per farm, not by voice.</t>
  </si>
  <si>
    <t xml:space="preserve">Field_Log — one row per activity captured from a Telegram voice note. Declaration fields are stored in BOTH Catalan (_ca) and English (_en); the farmer's own words stay in transcript_original.</t>
  </si>
  <si>
    <t xml:space="preserve">Vocabulary — controlled terms (activities, crops, pests) in EN / CA / ES / RU. Field_Log translates by lookup on the *_key columns, not by LLM, so declaration terms are deterministic.</t>
  </si>
  <si>
    <t xml:space="preserve">UI_Strings — card labels and bot messages in EN / CA / ES / RU, used to reply in the farmer's language. Placeholders like {n}, {field} are filled in by code. No farmer-facing text is hardcoded in Python — add new keys here and re-seed.</t>
  </si>
  <si>
    <t xml:space="preserve">Seeding: app/seed.py loads Parcels_DUN, Vocabulary, UI_Strings and Corrections. Field_Log rows load only with --with-sample-log. Field_Log column names match the Record schema; lookup/formula columns (sigpac_ref, *_ca, *_en, dose_per_ha, reply_lang) are for humans and can be skipped by the loader.</t>
  </si>
  <si>
    <t xml:space="preserve">Corrections — every farmer edit and agronomist correction (before → after + reason). The last N rows become few-shot examples for the extractor and judge.</t>
  </si>
  <si>
    <t xml:space="preserve">Language rules</t>
  </si>
  <si>
    <t xml:space="preserve">Input: farmer may speak EN, RU, CA or ES. Gemma returns lang (ISO 639-1). The bot replies (card + voice) in that language: reply_lang = lang.</t>
  </si>
  <si>
    <t xml:space="preserve">Declaration: controlled fields (crop, activity, target_pest) via Vocabulary lookup → _ca and _en. Free text (notes) translated by Gemma into notes_ca and notes_en.</t>
  </si>
  <si>
    <t xml:space="preserve">Never translated: product commercial names, registration numbers, SIGPAC references, numbers and units.</t>
  </si>
  <si>
    <t xml:space="preserve">If a term has no Vocabulary key → *_key = 'unknown', the free text goes to notes, and the judge flags the row for review.</t>
  </si>
  <si>
    <t xml:space="preserve">How the tabs connect</t>
  </si>
  <si>
    <t xml:space="preserve">The farmer says a spoken name ('parcel·la 3', 'третий участок'). The extractor maps it to parcel_alias (P1–P5) using Parcels_DUN.spoken_names. Field_Log then looks up sigpac_ref and the declared crop.</t>
  </si>
  <si>
    <t xml:space="preserve">Colour legend</t>
  </si>
  <si>
    <t xml:space="preserve">Blue text = values written by the bot (pipeline output)</t>
  </si>
  <si>
    <t xml:space="preserve">Black text = formulas — do not overwrite</t>
  </si>
  <si>
    <t xml:space="preserve">Green text = cross-tab lookups (Parcels_DUN, Vocabulary)</t>
  </si>
  <si>
    <t xml:space="preserve">Yellow fill = cells the agronomist reviews or edits (status, corrections)</t>
  </si>
  <si>
    <t xml:space="preserve">Status values</t>
  </si>
  <si>
    <t xml:space="preserve">draft → farmer_confirmed → auto_approved | needs_review → validated | corrected — or discarded</t>
  </si>
  <si>
    <t xml:space="preserve">Assumptions to verify (not 100% certain)</t>
  </si>
  <si>
    <t xml:space="preserve">1. CUE minimum fields for phytosanitary treatments assumed: date, parcel/recinte, crop, target pest, product + registration number, dose, treated area, applicator (ROPO), equipment (ROMA). Check the official CUE/SIEX field list.</t>
  </si>
  <si>
    <t xml:space="preserve">2. Judge auto-approve threshold 0.80 is a demo guess — tune on real test notes.</t>
  </si>
  <si>
    <t xml:space="preserve">3. SIGPAC use codes used: FY (fruit), OV (olive), FS (nuts). Official DUN crop catalogue codes not included.</t>
  </si>
  <si>
    <t xml:space="preserve">4. Catalan, Spanish and Russian terms in Vocabulary and UI_Strings are draft translations — have a native speaker / agronomist review before production.</t>
  </si>
  <si>
    <t xml:space="preserve">Sources</t>
  </si>
  <si>
    <t xml:space="preserve">DUN — Generalitat de Catalunya: https://tramits.gencat.cat/ca/tramits/tramits-temes/6497_Declaracio-unica-Agraria-DUN</t>
  </si>
  <si>
    <t xml:space="preserve">CUE obligation (phyto digital from 1 Jan 2027) — Euskadi.eus: https://www.euskadi.eus/cuaderno-digital-explotacion-agricola/web01-tramite/es/</t>
  </si>
  <si>
    <t xml:space="preserve">CUE scope — MAPA: https://www.mapa.gob.es/dam/mapa/contenido/reforma-de-la-pac/postura-espanola/informacion-sobre-cuaderno-digital.pdf</t>
  </si>
  <si>
    <t xml:space="preserve">parcel_alias</t>
  </si>
  <si>
    <t xml:space="preserve">spoken_names</t>
  </si>
  <si>
    <t xml:space="preserve">campaign</t>
  </si>
  <si>
    <t xml:space="preserve">explotacio_id</t>
  </si>
  <si>
    <t xml:space="preserve">sigpac_prov</t>
  </si>
  <si>
    <t xml:space="preserve">sigpac_mun</t>
  </si>
  <si>
    <t xml:space="preserve">sigpac_agregat</t>
  </si>
  <si>
    <t xml:space="preserve">sigpac_zona</t>
  </si>
  <si>
    <t xml:space="preserve">sigpac_poligon</t>
  </si>
  <si>
    <t xml:space="preserve">sigpac_parcela</t>
  </si>
  <si>
    <t xml:space="preserve">sigpac_recinte</t>
  </si>
  <si>
    <t xml:space="preserve">sigpac_ref</t>
  </si>
  <si>
    <t xml:space="preserve">sigpac_use</t>
  </si>
  <si>
    <t xml:space="preserve">crop_key</t>
  </si>
  <si>
    <t xml:space="preserve">crop_ca</t>
  </si>
  <si>
    <t xml:space="preserve">crop_en</t>
  </si>
  <si>
    <t xml:space="preserve">variety</t>
  </si>
  <si>
    <t xml:space="preserve">area_ha</t>
  </si>
  <si>
    <t xml:space="preserve">irrigation</t>
  </si>
  <si>
    <t xml:space="preserve">tenure</t>
  </si>
  <si>
    <t xml:space="preserve">eco_scheme</t>
  </si>
  <si>
    <t xml:space="preserve">P1</t>
  </si>
  <si>
    <t xml:space="preserve">parcel·la 1; el préssec; parcela uno; first parcel; первый участок</t>
  </si>
  <si>
    <t xml:space="preserve">2026</t>
  </si>
  <si>
    <t xml:space="preserve">EXP-25-0001</t>
  </si>
  <si>
    <t xml:space="preserve">FY</t>
  </si>
  <si>
    <t xml:space="preserve">peach</t>
  </si>
  <si>
    <t xml:space="preserve">Big Top</t>
  </si>
  <si>
    <t xml:space="preserve">regadiu</t>
  </si>
  <si>
    <t xml:space="preserve">propietat</t>
  </si>
  <si>
    <t xml:space="preserve">yes</t>
  </si>
  <si>
    <t xml:space="preserve">P2</t>
  </si>
  <si>
    <t xml:space="preserve">parcel·la 2; les pomeres; Gala block; второй участок; яблони</t>
  </si>
  <si>
    <t xml:space="preserve">apple</t>
  </si>
  <si>
    <t xml:space="preserve">Gala</t>
  </si>
  <si>
    <t xml:space="preserve">arrendament</t>
  </si>
  <si>
    <t xml:space="preserve">no</t>
  </si>
  <si>
    <t xml:space="preserve">P3</t>
  </si>
  <si>
    <t xml:space="preserve">parcel·la 3; les peres; третий участок; груши</t>
  </si>
  <si>
    <t xml:space="preserve">pear</t>
  </si>
  <si>
    <t xml:space="preserve">Conference</t>
  </si>
  <si>
    <t xml:space="preserve">P4</t>
  </si>
  <si>
    <t xml:space="preserve">l'olivar; el olivar; olive grove; оливы</t>
  </si>
  <si>
    <t xml:space="preserve">OV</t>
  </si>
  <si>
    <t xml:space="preserve">olive</t>
  </si>
  <si>
    <t xml:space="preserve">Arbequina</t>
  </si>
  <si>
    <t xml:space="preserve">secà</t>
  </si>
  <si>
    <t xml:space="preserve">P5</t>
  </si>
  <si>
    <t xml:space="preserve">els ametllers; los almendros; almonds; миндаль</t>
  </si>
  <si>
    <t xml:space="preserve">FS</t>
  </si>
  <si>
    <t xml:space="preserve">almond</t>
  </si>
  <si>
    <t xml:space="preserve">Vairo</t>
  </si>
  <si>
    <t xml:space="preserve">record_id</t>
  </si>
  <si>
    <t xml:space="preserve">date</t>
  </si>
  <si>
    <t xml:space="preserve">farmer_chat_id</t>
  </si>
  <si>
    <t xml:space="preserve">farmer_name</t>
  </si>
  <si>
    <t xml:space="preserve">lang</t>
  </si>
  <si>
    <t xml:space="preserve">reply_lang</t>
  </si>
  <si>
    <t xml:space="preserve">crop_spoken</t>
  </si>
  <si>
    <t xml:space="preserve">activity_key</t>
  </si>
  <si>
    <t xml:space="preserve">activity_ca</t>
  </si>
  <si>
    <t xml:space="preserve">activity_en</t>
  </si>
  <si>
    <t xml:space="preserve">product</t>
  </si>
  <si>
    <t xml:space="preserve">reg_number</t>
  </si>
  <si>
    <t xml:space="preserve">target_pest_key</t>
  </si>
  <si>
    <t xml:space="preserve">target_pest_ca</t>
  </si>
  <si>
    <t xml:space="preserve">target_pest_en</t>
  </si>
  <si>
    <t xml:space="preserve">quantity</t>
  </si>
  <si>
    <t xml:space="preserve">unit</t>
  </si>
  <si>
    <t xml:space="preserve">dose_per_ha (unit/ha)</t>
  </si>
  <si>
    <t xml:space="preserve">applicator_ropo</t>
  </si>
  <si>
    <t xml:space="preserve">equipment_roma</t>
  </si>
  <si>
    <t xml:space="preserve">notes_ca</t>
  </si>
  <si>
    <t xml:space="preserve">notes_en</t>
  </si>
  <si>
    <t xml:space="preserve">transcript_original</t>
  </si>
  <si>
    <t xml:space="preserve">confidence</t>
  </si>
  <si>
    <t xml:space="preserve">status</t>
  </si>
  <si>
    <t xml:space="preserve">judge_score</t>
  </si>
  <si>
    <t xml:space="preserve">judge_reason</t>
  </si>
  <si>
    <t xml:space="preserve">confirmed_by</t>
  </si>
  <si>
    <t xml:space="preserve">corrected_by</t>
  </si>
  <si>
    <t xml:space="preserve">R0001</t>
  </si>
  <si>
    <t xml:space="preserve">Joan</t>
  </si>
  <si>
    <t xml:space="preserve">ca</t>
  </si>
  <si>
    <t xml:space="preserve">peres</t>
  </si>
  <si>
    <t xml:space="preserve">treatment</t>
  </si>
  <si>
    <t xml:space="preserve">Oxicloruro de cobre 50% WP</t>
  </si>
  <si>
    <t xml:space="preserve">ES-00000 (sample)</t>
  </si>
  <si>
    <t xml:space="preserve">bacterial_canker</t>
  </si>
  <si>
    <t xml:space="preserve">kg</t>
  </si>
  <si>
    <t xml:space="preserve">ROPO-0001 (sample)</t>
  </si>
  <si>
    <t xml:space="preserve">Atomitzador ROMA-0001 (sample)</t>
  </si>
  <si>
    <t xml:space="preserve">Coure post-collita</t>
  </si>
  <si>
    <t xml:space="preserve">Post-harvest copper</t>
  </si>
  <si>
    <t xml:space="preserve">Ahir vaig tirar coure a la parcel·la 3, quatre quilos per les dues hectàrees.</t>
  </si>
  <si>
    <t xml:space="preserve">auto_approved</t>
  </si>
  <si>
    <t xml:space="preserve">Dose within usual range; Gemma and Scribe agree.</t>
  </si>
  <si>
    <t xml:space="preserve">farmer</t>
  </si>
  <si>
    <t xml:space="preserve">R0002</t>
  </si>
  <si>
    <t xml:space="preserve">préssec</t>
  </si>
  <si>
    <t xml:space="preserve">fertilization</t>
  </si>
  <si>
    <t xml:space="preserve">Fem (manure)</t>
  </si>
  <si>
    <t xml:space="preserve">t</t>
  </si>
  <si>
    <t xml:space="preserve">Fem de vaca</t>
  </si>
  <si>
    <t xml:space="preserve">Cow manure</t>
  </si>
  <si>
    <t xml:space="preserve">He escampat deu tones de fem al préssec.</t>
  </si>
  <si>
    <t xml:space="preserve">Plausible for season and area.</t>
  </si>
  <si>
    <t xml:space="preserve">R0003</t>
  </si>
  <si>
    <t xml:space="preserve">María</t>
  </si>
  <si>
    <t xml:space="preserve">es</t>
  </si>
  <si>
    <t xml:space="preserve">aceituna</t>
  </si>
  <si>
    <t xml:space="preserve">harvest</t>
  </si>
  <si>
    <t xml:space="preserve">Arbequina, primera passada</t>
  </si>
  <si>
    <t xml:space="preserve">Arbequina, first pass</t>
  </si>
  <si>
    <t xml:space="preserve">Hoy hemos cosechado seis mil quinientos kilos de aceituna en el olivar.</t>
  </si>
  <si>
    <t xml:space="preserve">Yield per ha plausible for Arbequina in secano.</t>
  </si>
  <si>
    <t xml:space="preserve">R0004</t>
  </si>
  <si>
    <t xml:space="preserve">almendros</t>
  </si>
  <si>
    <t xml:space="preserve">fungal_general</t>
  </si>
  <si>
    <t xml:space="preserve">ROPO-0002 (sample)</t>
  </si>
  <si>
    <t xml:space="preserve">Atomizador ROMA-0002 (sample)</t>
  </si>
  <si>
    <t xml:space="preserve">Quantitat corregida 40→14</t>
  </si>
  <si>
    <t xml:space="preserve">Quantity corrected 40→14</t>
  </si>
  <si>
    <t xml:space="preserve">Catorce kilos de cobre en los almendros, toda la parcela.</t>
  </si>
  <si>
    <t xml:space="preserve">corrected</t>
  </si>
  <si>
    <t xml:space="preserve">Gemma heard 40, Scribe heard 14 → 9.5 kg/ha too high. Sent to agronomist.</t>
  </si>
  <si>
    <t xml:space="preserve">agronomist</t>
  </si>
  <si>
    <t xml:space="preserve">R0005</t>
  </si>
  <si>
    <t xml:space="preserve">Tom</t>
  </si>
  <si>
    <t xml:space="preserve">en</t>
  </si>
  <si>
    <t xml:space="preserve">Gala apples</t>
  </si>
  <si>
    <t xml:space="preserve">m3</t>
  </si>
  <si>
    <t xml:space="preserve">Reg per degoteig</t>
  </si>
  <si>
    <t xml:space="preserve">Drip irrigation</t>
  </si>
  <si>
    <t xml:space="preserve">Watered the Gala block today, about 120 cubic metres.</t>
  </si>
  <si>
    <t xml:space="preserve">Volume plausible for drip irrigation.</t>
  </si>
  <si>
    <t xml:space="preserve">R0006</t>
  </si>
  <si>
    <t xml:space="preserve">labour</t>
  </si>
  <si>
    <t xml:space="preserve">Inici de la poda</t>
  </si>
  <si>
    <t xml:space="preserve">Pruning started</t>
  </si>
  <si>
    <t xml:space="preserve">Hem començat a podar les peres.</t>
  </si>
  <si>
    <t xml:space="preserve">farmer_confirmed</t>
  </si>
  <si>
    <t xml:space="preserve">R0007</t>
  </si>
  <si>
    <t xml:space="preserve">manzanos</t>
  </si>
  <si>
    <t xml:space="preserve">Azufre mojable 80% WG</t>
  </si>
  <si>
    <t xml:space="preserve">powdery_mildew</t>
  </si>
  <si>
    <t xml:space="preserve">Cultiu no coincideix amb la DUN</t>
  </si>
  <si>
    <t xml:space="preserve">Crop does not match DUN</t>
  </si>
  <si>
    <t xml:space="preserve">Tratamiento con azufre en los manzanos de la parcela uno, tres kilos.</t>
  </si>
  <si>
    <t xml:space="preserve">needs_review</t>
  </si>
  <si>
    <t xml:space="preserve">P1 declared as peach in DUN, farmer said apple trees. Check parcel or crop.</t>
  </si>
  <si>
    <t xml:space="preserve">R0008</t>
  </si>
  <si>
    <t xml:space="preserve">Ivan</t>
  </si>
  <si>
    <t xml:space="preserve">ru</t>
  </si>
  <si>
    <t xml:space="preserve">яблони</t>
  </si>
  <si>
    <t xml:space="preserve">NPK 15-15-15</t>
  </si>
  <si>
    <t xml:space="preserve">Adob complex granulat</t>
  </si>
  <si>
    <t xml:space="preserve">Granular compound fertiliser</t>
  </si>
  <si>
    <t xml:space="preserve">Сегодня внёс сто пятьдесят килограммов NPK пятнадцать-пятнадцать-пятнадцать под яблони на втором участке.</t>
  </si>
  <si>
    <t xml:space="preserve">83 kg/ha plausible for apple orchard.</t>
  </si>
  <si>
    <t xml:space="preserve">R0009</t>
  </si>
  <si>
    <t xml:space="preserve">груши</t>
  </si>
  <si>
    <t xml:space="preserve">unknown</t>
  </si>
  <si>
    <t xml:space="preserve">ROPO-0003 (sample)</t>
  </si>
  <si>
    <t xml:space="preserve">Plaga no reconeguda: 'чёрные пятна на листьях' (taques negres a les fulles)</t>
  </si>
  <si>
    <t xml:space="preserve">Pest not in vocabulary: 'чёрные пятна на листьях' (black spots on leaves)</t>
  </si>
  <si>
    <t xml:space="preserve">Обработал груши медью на третьем участке, четыре кило, от чёрных пятен на листьях.</t>
  </si>
  <si>
    <t xml:space="preserve">Target pest not in Vocabulary → agronomist must assign a pest key.</t>
  </si>
  <si>
    <t xml:space="preserve">R0010</t>
  </si>
  <si>
    <t xml:space="preserve">other</t>
  </si>
  <si>
    <t xml:space="preserve">Missatge de prova</t>
  </si>
  <si>
    <t xml:space="preserve">Test message</t>
  </si>
  <si>
    <t xml:space="preserve">Test, test, is this working?</t>
  </si>
  <si>
    <t xml:space="preserve">discarded</t>
  </si>
  <si>
    <t xml:space="preserve">No farm activity detected.</t>
  </si>
  <si>
    <t xml:space="preserve">field</t>
  </si>
  <si>
    <t xml:space="preserve">before</t>
  </si>
  <si>
    <t xml:space="preserve">after</t>
  </si>
  <si>
    <t xml:space="preserve">reason</t>
  </si>
  <si>
    <t xml:space="preserve">reason_lang</t>
  </si>
  <si>
    <t xml:space="preserve">timestamp</t>
  </si>
  <si>
    <t xml:space="preserve">used_as_fewshot</t>
  </si>
  <si>
    <t xml:space="preserve">Farmer edit on card: said 'deu tones' (ten tonnes), extractor wrote kg.</t>
  </si>
  <si>
    <t xml:space="preserve">Farmer said 'catorce' (14). 40 kg on 4.2 ha ≈ 9.5 kg/ha, above usual copper range for almond. Scribe transcript confirms 14.</t>
  </si>
  <si>
    <t xml:space="preserve">key</t>
  </si>
  <si>
    <t xml:space="preserve">type</t>
  </si>
  <si>
    <t xml:space="preserve">activity</t>
  </si>
  <si>
    <t xml:space="preserve">Phytosanitary treatment</t>
  </si>
  <si>
    <t xml:space="preserve">Tractament fitosanitari</t>
  </si>
  <si>
    <t xml:space="preserve">Tratamiento fitosanitario</t>
  </si>
  <si>
    <t xml:space="preserve">Обработка СЗР</t>
  </si>
  <si>
    <t xml:space="preserve">Fertilisation</t>
  </si>
  <si>
    <t xml:space="preserve">Fertilització</t>
  </si>
  <si>
    <t xml:space="preserve">Fertilización</t>
  </si>
  <si>
    <t xml:space="preserve">Внесение удобрений</t>
  </si>
  <si>
    <t xml:space="preserve">Irrigation</t>
  </si>
  <si>
    <t xml:space="preserve">Reg</t>
  </si>
  <si>
    <t xml:space="preserve">Riego</t>
  </si>
  <si>
    <t xml:space="preserve">Полив</t>
  </si>
  <si>
    <t xml:space="preserve">Harvest</t>
  </si>
  <si>
    <t xml:space="preserve">Collita</t>
  </si>
  <si>
    <t xml:space="preserve">Cosecha</t>
  </si>
  <si>
    <t xml:space="preserve">Сбор урожая</t>
  </si>
  <si>
    <t xml:space="preserve">Cultural work</t>
  </si>
  <si>
    <t xml:space="preserve">Labors culturals</t>
  </si>
  <si>
    <t xml:space="preserve">Labores culturales</t>
  </si>
  <si>
    <t xml:space="preserve">Полевые работы</t>
  </si>
  <si>
    <t xml:space="preserve">sowing</t>
  </si>
  <si>
    <t xml:space="preserve">Sowing / planting</t>
  </si>
  <si>
    <t xml:space="preserve">Sembra / plantació</t>
  </si>
  <si>
    <t xml:space="preserve">Siembra / plantación</t>
  </si>
  <si>
    <t xml:space="preserve">Посев / посадка</t>
  </si>
  <si>
    <t xml:space="preserve">Other</t>
  </si>
  <si>
    <t xml:space="preserve">Altres</t>
  </si>
  <si>
    <t xml:space="preserve">Otros</t>
  </si>
  <si>
    <t xml:space="preserve">Другое</t>
  </si>
  <si>
    <t xml:space="preserve">crop</t>
  </si>
  <si>
    <t xml:space="preserve">Peach</t>
  </si>
  <si>
    <t xml:space="preserve">Presseguer</t>
  </si>
  <si>
    <t xml:space="preserve">Melocotonero</t>
  </si>
  <si>
    <t xml:space="preserve">Персик</t>
  </si>
  <si>
    <t xml:space="preserve">Apple</t>
  </si>
  <si>
    <t xml:space="preserve">Pomera</t>
  </si>
  <si>
    <t xml:space="preserve">Manzano</t>
  </si>
  <si>
    <t xml:space="preserve">Яблоня</t>
  </si>
  <si>
    <t xml:space="preserve">Pear</t>
  </si>
  <si>
    <t xml:space="preserve">Perera</t>
  </si>
  <si>
    <t xml:space="preserve">Peral</t>
  </si>
  <si>
    <t xml:space="preserve">Груша</t>
  </si>
  <si>
    <t xml:space="preserve">Olive</t>
  </si>
  <si>
    <t xml:space="preserve">Olivera</t>
  </si>
  <si>
    <t xml:space="preserve">Olivo</t>
  </si>
  <si>
    <t xml:space="preserve">Олива</t>
  </si>
  <si>
    <t xml:space="preserve">Almond</t>
  </si>
  <si>
    <t xml:space="preserve">Ametller</t>
  </si>
  <si>
    <t xml:space="preserve">Almendro</t>
  </si>
  <si>
    <t xml:space="preserve">Миндаль</t>
  </si>
  <si>
    <t xml:space="preserve">pest</t>
  </si>
  <si>
    <t xml:space="preserve">Bacterial canker</t>
  </si>
  <si>
    <t xml:space="preserve">Xancre bacterià</t>
  </si>
  <si>
    <t xml:space="preserve">Chancro bacteriano</t>
  </si>
  <si>
    <t xml:space="preserve">Бактериальный рак</t>
  </si>
  <si>
    <t xml:space="preserve">Powdery mildew</t>
  </si>
  <si>
    <t xml:space="preserve">Oïdi</t>
  </si>
  <si>
    <t xml:space="preserve">Oídio</t>
  </si>
  <si>
    <t xml:space="preserve">Мучнистая роса</t>
  </si>
  <si>
    <t xml:space="preserve">leaf_curl</t>
  </si>
  <si>
    <t xml:space="preserve">Peach leaf curl</t>
  </si>
  <si>
    <t xml:space="preserve">Arrissat del presseguer</t>
  </si>
  <si>
    <t xml:space="preserve">Lepra del melocotonero</t>
  </si>
  <si>
    <t xml:space="preserve">Курчавость листьев</t>
  </si>
  <si>
    <t xml:space="preserve">Fungal diseases (general)</t>
  </si>
  <si>
    <t xml:space="preserve">Malalties fúngiques</t>
  </si>
  <si>
    <t xml:space="preserve">Enfermedades fúngicas</t>
  </si>
  <si>
    <t xml:space="preserve">Грибковые болезни</t>
  </si>
  <si>
    <t xml:space="preserve">none</t>
  </si>
  <si>
    <t xml:space="preserve">any</t>
  </si>
  <si>
    <t xml:space="preserve">UNKNOWN — review</t>
  </si>
  <si>
    <t xml:space="preserve">DESCONEGUT — revisar</t>
  </si>
  <si>
    <t xml:space="preserve">DESCONOCIDO — revisar</t>
  </si>
  <si>
    <t xml:space="preserve">НЕИЗВЕСТНО — проверить</t>
  </si>
  <si>
    <t xml:space="preserve">card_title</t>
  </si>
  <si>
    <t xml:space="preserve">New record</t>
  </si>
  <si>
    <t xml:space="preserve">Nou registre</t>
  </si>
  <si>
    <t xml:space="preserve">Nuevo registro</t>
  </si>
  <si>
    <t xml:space="preserve">Новая запись</t>
  </si>
  <si>
    <t xml:space="preserve">Date</t>
  </si>
  <si>
    <t xml:space="preserve">Data</t>
  </si>
  <si>
    <t xml:space="preserve">Fecha</t>
  </si>
  <si>
    <t xml:space="preserve">Дата</t>
  </si>
  <si>
    <t xml:space="preserve">parcel</t>
  </si>
  <si>
    <t xml:space="preserve">Parcel</t>
  </si>
  <si>
    <t xml:space="preserve">Parcel·la</t>
  </si>
  <si>
    <t xml:space="preserve">Parcela</t>
  </si>
  <si>
    <t xml:space="preserve">Участок</t>
  </si>
  <si>
    <t xml:space="preserve">Crop</t>
  </si>
  <si>
    <t xml:space="preserve">Cultiu</t>
  </si>
  <si>
    <t xml:space="preserve">Cultivo</t>
  </si>
  <si>
    <t xml:space="preserve">Культура</t>
  </si>
  <si>
    <t xml:space="preserve">Activity</t>
  </si>
  <si>
    <t xml:space="preserve">Activitat</t>
  </si>
  <si>
    <t xml:space="preserve">Actividad</t>
  </si>
  <si>
    <t xml:space="preserve">Работа</t>
  </si>
  <si>
    <t xml:space="preserve">Product</t>
  </si>
  <si>
    <t xml:space="preserve">Producte</t>
  </si>
  <si>
    <t xml:space="preserve">Producto</t>
  </si>
  <si>
    <t xml:space="preserve">Препарат</t>
  </si>
  <si>
    <t xml:space="preserve">area</t>
  </si>
  <si>
    <t xml:space="preserve">Area</t>
  </si>
  <si>
    <t xml:space="preserve">Superfície</t>
  </si>
  <si>
    <t xml:space="preserve">Superficie</t>
  </si>
  <si>
    <t xml:space="preserve">Площадь</t>
  </si>
  <si>
    <t xml:space="preserve">btn_ok</t>
  </si>
  <si>
    <t xml:space="preserve">✅ Correct</t>
  </si>
  <si>
    <t xml:space="preserve">✅ Correcte</t>
  </si>
  <si>
    <t xml:space="preserve">✅ Correcto</t>
  </si>
  <si>
    <t xml:space="preserve">✅ Верно</t>
  </si>
  <si>
    <t xml:space="preserve">btn_edit</t>
  </si>
  <si>
    <t xml:space="preserve">✏️ Edit</t>
  </si>
  <si>
    <t xml:space="preserve">✏️ Editar</t>
  </si>
  <si>
    <t xml:space="preserve">✏️ Исправить</t>
  </si>
  <si>
    <t xml:space="preserve">btn_discard</t>
  </si>
  <si>
    <t xml:space="preserve">❌ Discard</t>
  </si>
  <si>
    <t xml:space="preserve">❌ Descartar</t>
  </si>
  <si>
    <t xml:space="preserve">❌ Отменить</t>
  </si>
  <si>
    <t xml:space="preserve">ask_parcel</t>
  </si>
  <si>
    <t xml:space="preserve">Which parcel?</t>
  </si>
  <si>
    <t xml:space="preserve">Quina parcel·la?</t>
  </si>
  <si>
    <t xml:space="preserve">¿Qué parcela?</t>
  </si>
  <si>
    <t xml:space="preserve">Какой участок?</t>
  </si>
  <si>
    <t xml:space="preserve">ask_quantity</t>
  </si>
  <si>
    <t xml:space="preserve">How much did you use?</t>
  </si>
  <si>
    <t xml:space="preserve">Quanta quantitat has fet servir?</t>
  </si>
  <si>
    <t xml:space="preserve">¿Qué cantidad has usado?</t>
  </si>
  <si>
    <t xml:space="preserve">Сколько использовали?</t>
  </si>
  <si>
    <t xml:space="preserve">not_understood</t>
  </si>
  <si>
    <t xml:space="preserve">I couldn't understand, could you repeat?</t>
  </si>
  <si>
    <t xml:space="preserve">No t'he entès, ho pots repetir?</t>
  </si>
  <si>
    <t xml:space="preserve">No te he entendido, ¿puedes repetirlo?</t>
  </si>
  <si>
    <t xml:space="preserve">Не понял, можете повторить?</t>
  </si>
  <si>
    <t xml:space="preserve">saved</t>
  </si>
  <si>
    <t xml:space="preserve">Saved. Thank you!</t>
  </si>
  <si>
    <t xml:space="preserve">Desat. Gràcies!</t>
  </si>
  <si>
    <t xml:space="preserve">Guardado. ¡Gracias!</t>
  </si>
  <si>
    <t xml:space="preserve">Сохранено. Спасибо!</t>
  </si>
  <si>
    <t xml:space="preserve">changed_by_expert</t>
  </si>
  <si>
    <t xml:space="preserve">Your agronomist changed {field}: {before} → {after}</t>
  </si>
  <si>
    <t xml:space="preserve">El teu tècnic ha canviat {field}: {before} → {after}</t>
  </si>
  <si>
    <t xml:space="preserve">Tu técnico ha cambiado {field}: {before} → {after}</t>
  </si>
  <si>
    <t xml:space="preserve">Агроном изменил {field}: {before} → {after}</t>
  </si>
  <si>
    <t xml:space="preserve">Quantity</t>
  </si>
  <si>
    <t xml:space="preserve">Quantitat</t>
  </si>
  <si>
    <t xml:space="preserve">Cantidad</t>
  </si>
  <si>
    <t xml:space="preserve">Количество</t>
  </si>
  <si>
    <t xml:space="preserve">dose</t>
  </si>
  <si>
    <t xml:space="preserve">Dose</t>
  </si>
  <si>
    <t xml:space="preserve">Dosi</t>
  </si>
  <si>
    <t xml:space="preserve">Dosis</t>
  </si>
  <si>
    <t xml:space="preserve">Доза</t>
  </si>
  <si>
    <t xml:space="preserve">Target</t>
  </si>
  <si>
    <t xml:space="preserve">Objectiu</t>
  </si>
  <si>
    <t xml:space="preserve">Objetivo</t>
  </si>
  <si>
    <t xml:space="preserve">Цель обработки</t>
  </si>
  <si>
    <t xml:space="preserve">welcome</t>
  </si>
  <si>
    <t xml:space="preserve">Hi! Send me a voice note about your work in the field.</t>
  </si>
  <si>
    <t xml:space="preserve">Hola! Envia'm una nota de veu sobre la feina al camp.</t>
  </si>
  <si>
    <t xml:space="preserve">¡Hola! Envíame una nota de voz sobre tu trabajo en el campo.</t>
  </si>
  <si>
    <t xml:space="preserve">Привет! Отправьте голосовое сообщение о работе в поле.</t>
  </si>
  <si>
    <t xml:space="preserve">ask_name</t>
  </si>
  <si>
    <t xml:space="preserve">What's your name?</t>
  </si>
  <si>
    <t xml:space="preserve">Com et dius?</t>
  </si>
  <si>
    <t xml:space="preserve">¿Cómo te llamas?</t>
  </si>
  <si>
    <t xml:space="preserve">Как вас зовут?</t>
  </si>
  <si>
    <t xml:space="preserve">ask_date</t>
  </si>
  <si>
    <t xml:space="preserve">When did you do it?</t>
  </si>
  <si>
    <t xml:space="preserve">Quan ho vas fer?</t>
  </si>
  <si>
    <t xml:space="preserve">¿Cuándo lo hiciste?</t>
  </si>
  <si>
    <t xml:space="preserve">Когда это было?</t>
  </si>
  <si>
    <t xml:space="preserve">ask_product</t>
  </si>
  <si>
    <t xml:space="preserve">Which product did you use?</t>
  </si>
  <si>
    <t xml:space="preserve">Quin producte has fet servir?</t>
  </si>
  <si>
    <t xml:space="preserve">¿Qué producto has usado?</t>
  </si>
  <si>
    <t xml:space="preserve">Какой препарат использовали?</t>
  </si>
  <si>
    <t xml:space="preserve">ask_fix</t>
  </si>
  <si>
    <t xml:space="preserve">What should I change? Say it or type it.</t>
  </si>
  <si>
    <t xml:space="preserve">Què he de canviar? Digues-ho o escriu-ho.</t>
  </si>
  <si>
    <t xml:space="preserve">¿Qué cambio? Dímelo o escríbelo.</t>
  </si>
  <si>
    <t xml:space="preserve">Что исправить? Скажите или напишите.</t>
  </si>
  <si>
    <t xml:space="preserve">records_found</t>
  </si>
  <si>
    <t xml:space="preserve">{n} records found</t>
  </si>
  <si>
    <t xml:space="preserve">{n} registres trobats</t>
  </si>
  <si>
    <t xml:space="preserve">{n} registros encontrados</t>
  </si>
  <si>
    <t xml:space="preserve">Найдено записей: {n}</t>
  </si>
  <si>
    <t xml:space="preserve">not_farm_activity</t>
  </si>
  <si>
    <t xml:space="preserve">I didn't find any field work in that message. Try: "Today I watered parcel 2, 100 cubic metres."</t>
  </si>
  <si>
    <t xml:space="preserve">No he trobat cap feina de camp en el missatge. Prova: "Avui he regat la parcel·la 2, 100 metres cúbics."</t>
  </si>
  <si>
    <t xml:space="preserve">No he encontrado trabajo de campo en el mensaje. Prueba: "Hoy he regado la parcela 2, 100 metros cúbicos."</t>
  </si>
  <si>
    <t xml:space="preserve">Не нашёл полевых работ в сообщении. Попробуйте: «Сегодня полил второй участок, 100 кубометров».</t>
  </si>
  <si>
    <t xml:space="preserve">Discarded.</t>
  </si>
  <si>
    <t xml:space="preserve">Descartat.</t>
  </si>
  <si>
    <t xml:space="preserve">Descartado.</t>
  </si>
  <si>
    <t xml:space="preserve">Отменено.</t>
  </si>
  <si>
    <t xml:space="preserve">summary_today</t>
  </si>
  <si>
    <t xml:space="preserve">Today: {n} records, {r} need review.</t>
  </si>
  <si>
    <t xml:space="preserve">Avui: {n} registres, {r} pendents de revisió.</t>
  </si>
  <si>
    <t xml:space="preserve">Hoy: {n} registros, {r} pendientes de revisión.</t>
  </si>
  <si>
    <t xml:space="preserve">Сегодня: записей {n}, на проверке {r}.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</si>
</sst>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"/>
    <numFmt numFmtId="166" formatCode="yyyy\-mm\-dd"/>
    <numFmt numFmtId="167" formatCode="yyyy\-mm\-dd\ hh:mm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color rgb="FF0000FF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2F5D3A"/>
        <bgColor rgb="FF333300"/>
      </patternFill>
    </fill>
    <fill>
      <patternFill patternType="solid">
        <fgColor rgb="FFFFF2B3"/>
        <bgColor rgb="FFFFFF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6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7" fontId="8" fillId="3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F5D3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2B3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B3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F5D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vmlDrawing" Target="../drawings/vmlDrawing3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0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2" t="s">
        <v>3</v>
      </c>
    </row>
    <row r="6" customFormat="false" ht="23.85" hidden="false" customHeight="false" outlineLevel="0" collapsed="false">
      <c r="A6" s="2" t="s">
        <v>4</v>
      </c>
    </row>
    <row r="7" customFormat="false" ht="23.85" hidden="false" customHeight="false" outlineLevel="0" collapsed="false">
      <c r="A7" s="2" t="s">
        <v>5</v>
      </c>
    </row>
    <row r="8" customFormat="false" ht="23.85" hidden="false" customHeight="false" outlineLevel="0" collapsed="false">
      <c r="A8" s="2" t="s">
        <v>6</v>
      </c>
    </row>
    <row r="9" customFormat="false" ht="23.8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/>
    </row>
    <row r="12" customFormat="false" ht="15" hidden="false" customHeight="false" outlineLevel="0" collapsed="false">
      <c r="A12" s="3" t="s">
        <v>9</v>
      </c>
    </row>
    <row r="13" customFormat="false" ht="15" hidden="false" customHeight="false" outlineLevel="0" collapsed="false">
      <c r="A13" s="2" t="s">
        <v>10</v>
      </c>
    </row>
    <row r="14" customFormat="false" ht="23.85" hidden="false" customHeight="false" outlineLevel="0" collapsed="false">
      <c r="A14" s="2" t="s">
        <v>11</v>
      </c>
    </row>
    <row r="15" customFormat="false" ht="15" hidden="false" customHeight="false" outlineLevel="0" collapsed="false">
      <c r="A15" s="2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5" hidden="false" customHeight="false" outlineLevel="0" collapsed="false">
      <c r="A18" s="3" t="s">
        <v>14</v>
      </c>
    </row>
    <row r="19" customFormat="false" ht="23.85" hidden="false" customHeight="false" outlineLevel="0" collapsed="false">
      <c r="A19" s="2" t="s">
        <v>15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16</v>
      </c>
    </row>
    <row r="22" customFormat="false" ht="15" hidden="false" customHeight="false" outlineLevel="0" collapsed="false">
      <c r="A22" s="2" t="s">
        <v>17</v>
      </c>
    </row>
    <row r="23" customFormat="false" ht="15" hidden="false" customHeight="false" outlineLevel="0" collapsed="false">
      <c r="A23" s="2" t="s">
        <v>18</v>
      </c>
    </row>
    <row r="24" customFormat="false" ht="15" hidden="false" customHeight="false" outlineLevel="0" collapsed="false">
      <c r="A24" s="2" t="s">
        <v>19</v>
      </c>
    </row>
    <row r="25" customFormat="false" ht="15" hidden="false" customHeight="false" outlineLevel="0" collapsed="false">
      <c r="A25" s="2" t="s">
        <v>20</v>
      </c>
    </row>
    <row r="26" customFormat="false" ht="15" hidden="false" customHeight="false" outlineLevel="0" collapsed="false">
      <c r="A26" s="2"/>
    </row>
    <row r="27" customFormat="false" ht="15" hidden="false" customHeight="false" outlineLevel="0" collapsed="false">
      <c r="A27" s="3" t="s">
        <v>21</v>
      </c>
    </row>
    <row r="28" customFormat="false" ht="15" hidden="false" customHeight="false" outlineLevel="0" collapsed="false">
      <c r="A28" s="2" t="s">
        <v>22</v>
      </c>
    </row>
    <row r="29" customFormat="false" ht="15" hidden="false" customHeight="false" outlineLevel="0" collapsed="false">
      <c r="A29" s="2"/>
    </row>
    <row r="30" customFormat="false" ht="15" hidden="false" customHeight="false" outlineLevel="0" collapsed="false">
      <c r="A30" s="3" t="s">
        <v>23</v>
      </c>
    </row>
    <row r="31" customFormat="false" ht="23.85" hidden="false" customHeight="false" outlineLevel="0" collapsed="false">
      <c r="A31" s="2" t="s">
        <v>24</v>
      </c>
    </row>
    <row r="32" customFormat="false" ht="15" hidden="false" customHeight="false" outlineLevel="0" collapsed="false">
      <c r="A32" s="2" t="s">
        <v>25</v>
      </c>
    </row>
    <row r="33" customFormat="false" ht="15" hidden="false" customHeight="false" outlineLevel="0" collapsed="false">
      <c r="A33" s="2" t="s">
        <v>26</v>
      </c>
    </row>
    <row r="34" customFormat="false" ht="15" hidden="false" customHeight="false" outlineLevel="0" collapsed="false">
      <c r="A34" s="2" t="s">
        <v>27</v>
      </c>
    </row>
    <row r="35" customFormat="false" ht="15" hidden="false" customHeight="false" outlineLevel="0" collapsed="false">
      <c r="A35" s="2"/>
    </row>
    <row r="36" customFormat="false" ht="15" hidden="false" customHeight="false" outlineLevel="0" collapsed="false">
      <c r="A36" s="3" t="s">
        <v>28</v>
      </c>
    </row>
    <row r="37" customFormat="false" ht="15" hidden="false" customHeight="false" outlineLevel="0" collapsed="false">
      <c r="A37" s="2" t="s">
        <v>29</v>
      </c>
    </row>
    <row r="38" customFormat="false" ht="15" hidden="false" customHeight="false" outlineLevel="0" collapsed="false">
      <c r="A38" s="2" t="s">
        <v>30</v>
      </c>
    </row>
    <row r="39" customFormat="false" ht="15" hidden="false" customHeight="false" outlineLevel="0" collapsed="false">
      <c r="A39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34"/>
    <col collapsed="false" customWidth="true" hidden="false" outlineLevel="0" max="3" min="3" style="0" width="9"/>
    <col collapsed="false" customWidth="true" hidden="false" outlineLevel="0" max="4" min="4" style="0" width="13"/>
    <col collapsed="false" customWidth="true" hidden="false" outlineLevel="0" max="7" min="5" style="0" width="8"/>
    <col collapsed="false" customWidth="true" hidden="false" outlineLevel="0" max="8" min="8" style="0" width="7"/>
    <col collapsed="false" customWidth="true" hidden="false" outlineLevel="0" max="11" min="9" style="0" width="8"/>
    <col collapsed="false" customWidth="true" hidden="false" outlineLevel="0" max="12" min="12" style="0" width="22"/>
    <col collapsed="false" customWidth="true" hidden="false" outlineLevel="0" max="13" min="13" style="0" width="9"/>
    <col collapsed="false" customWidth="true" hidden="false" outlineLevel="0" max="14" min="14" style="0" width="10"/>
    <col collapsed="false" customWidth="true" hidden="false" outlineLevel="0" max="15" min="15" style="0" width="12"/>
    <col collapsed="false" customWidth="true" hidden="false" outlineLevel="0" max="16" min="16" style="0" width="10"/>
    <col collapsed="false" customWidth="true" hidden="false" outlineLevel="0" max="17" min="17" style="0" width="12"/>
    <col collapsed="false" customWidth="true" hidden="false" outlineLevel="0" max="18" min="18" style="0" width="8"/>
    <col collapsed="false" customWidth="true" hidden="false" outlineLevel="0" max="19" min="19" style="0" width="10"/>
    <col collapsed="false" customWidth="true" hidden="false" outlineLevel="0" max="20" min="20" style="0" width="12"/>
    <col collapsed="false" customWidth="true" hidden="false" outlineLevel="0" max="21" min="21" style="0" width="10"/>
  </cols>
  <sheetData>
    <row r="1" customFormat="false" ht="30" hidden="false" customHeight="true" outlineLevel="0" collapsed="false">
      <c r="A1" s="4" t="s">
        <v>32</v>
      </c>
      <c r="B1" s="4" t="s">
        <v>33</v>
      </c>
      <c r="C1" s="4" t="s">
        <v>34</v>
      </c>
      <c r="D1" s="4" t="s">
        <v>35</v>
      </c>
      <c r="E1" s="4" t="s">
        <v>36</v>
      </c>
      <c r="F1" s="4" t="s">
        <v>37</v>
      </c>
      <c r="G1" s="4" t="s">
        <v>38</v>
      </c>
      <c r="H1" s="4" t="s">
        <v>39</v>
      </c>
      <c r="I1" s="4" t="s">
        <v>40</v>
      </c>
      <c r="J1" s="4" t="s">
        <v>41</v>
      </c>
      <c r="K1" s="4" t="s">
        <v>42</v>
      </c>
      <c r="L1" s="4" t="s">
        <v>43</v>
      </c>
      <c r="M1" s="4" t="s">
        <v>44</v>
      </c>
      <c r="N1" s="4" t="s">
        <v>45</v>
      </c>
      <c r="O1" s="4" t="s">
        <v>46</v>
      </c>
      <c r="P1" s="4" t="s">
        <v>47</v>
      </c>
      <c r="Q1" s="4" t="s">
        <v>48</v>
      </c>
      <c r="R1" s="4" t="s">
        <v>49</v>
      </c>
      <c r="S1" s="4" t="s">
        <v>50</v>
      </c>
      <c r="T1" s="4" t="s">
        <v>51</v>
      </c>
      <c r="U1" s="4" t="s">
        <v>52</v>
      </c>
    </row>
    <row r="2" customFormat="false" ht="15" hidden="false" customHeight="false" outlineLevel="0" collapsed="false">
      <c r="A2" s="5" t="s">
        <v>53</v>
      </c>
      <c r="B2" s="5" t="s">
        <v>54</v>
      </c>
      <c r="C2" s="5" t="s">
        <v>55</v>
      </c>
      <c r="D2" s="5" t="s">
        <v>56</v>
      </c>
      <c r="E2" s="5" t="n">
        <v>25</v>
      </c>
      <c r="F2" s="5" t="n">
        <v>120</v>
      </c>
      <c r="G2" s="5" t="n">
        <v>0</v>
      </c>
      <c r="H2" s="5" t="n">
        <v>0</v>
      </c>
      <c r="I2" s="5" t="n">
        <v>7</v>
      </c>
      <c r="J2" s="5" t="n">
        <v>45</v>
      </c>
      <c r="K2" s="5" t="n">
        <v>1</v>
      </c>
      <c r="L2" s="6" t="str">
        <f aca="false">E2&amp;"-"&amp;F2&amp;"-"&amp;G2&amp;"-"&amp;H2&amp;"-"&amp;I2&amp;"-"&amp;J2&amp;"-"&amp;K2</f>
        <v>25-120-0-0-7-45-1</v>
      </c>
      <c r="M2" s="5" t="s">
        <v>57</v>
      </c>
      <c r="N2" s="5" t="s">
        <v>58</v>
      </c>
      <c r="O2" s="7" t="str">
        <f aca="false">IFERROR(INDEX(Vocabulary!$D$2:$D$19,MATCH(N2,Vocabulary!$A$2:$A$19,0)),"")</f>
        <v>Presseguer</v>
      </c>
      <c r="P2" s="7" t="str">
        <f aca="false">IFERROR(INDEX(Vocabulary!$C$2:$C$19,MATCH(N2,Vocabulary!$A$2:$A$19,0)),"")</f>
        <v>Peach</v>
      </c>
      <c r="Q2" s="5" t="s">
        <v>59</v>
      </c>
      <c r="R2" s="8" t="n">
        <v>2.4</v>
      </c>
      <c r="S2" s="5" t="s">
        <v>60</v>
      </c>
      <c r="T2" s="5" t="s">
        <v>61</v>
      </c>
      <c r="U2" s="5" t="s">
        <v>62</v>
      </c>
    </row>
    <row r="3" customFormat="false" ht="15" hidden="false" customHeight="false" outlineLevel="0" collapsed="false">
      <c r="A3" s="5" t="s">
        <v>63</v>
      </c>
      <c r="B3" s="5" t="s">
        <v>64</v>
      </c>
      <c r="C3" s="5" t="s">
        <v>55</v>
      </c>
      <c r="D3" s="5" t="s">
        <v>56</v>
      </c>
      <c r="E3" s="5" t="n">
        <v>25</v>
      </c>
      <c r="F3" s="5" t="n">
        <v>120</v>
      </c>
      <c r="G3" s="5" t="n">
        <v>0</v>
      </c>
      <c r="H3" s="5" t="n">
        <v>0</v>
      </c>
      <c r="I3" s="5" t="n">
        <v>7</v>
      </c>
      <c r="J3" s="5" t="n">
        <v>46</v>
      </c>
      <c r="K3" s="5" t="n">
        <v>2</v>
      </c>
      <c r="L3" s="6" t="str">
        <f aca="false">E3&amp;"-"&amp;F3&amp;"-"&amp;G3&amp;"-"&amp;H3&amp;"-"&amp;I3&amp;"-"&amp;J3&amp;"-"&amp;K3</f>
        <v>25-120-0-0-7-46-2</v>
      </c>
      <c r="M3" s="5" t="s">
        <v>57</v>
      </c>
      <c r="N3" s="5" t="s">
        <v>65</v>
      </c>
      <c r="O3" s="7" t="str">
        <f aca="false">IFERROR(INDEX(Vocabulary!$D$2:$D$19,MATCH(N3,Vocabulary!$A$2:$A$19,0)),"")</f>
        <v>Pomera</v>
      </c>
      <c r="P3" s="7" t="str">
        <f aca="false">IFERROR(INDEX(Vocabulary!$C$2:$C$19,MATCH(N3,Vocabulary!$A$2:$A$19,0)),"")</f>
        <v>Apple</v>
      </c>
      <c r="Q3" s="5" t="s">
        <v>66</v>
      </c>
      <c r="R3" s="8" t="n">
        <v>1.8</v>
      </c>
      <c r="S3" s="5" t="s">
        <v>60</v>
      </c>
      <c r="T3" s="5" t="s">
        <v>67</v>
      </c>
      <c r="U3" s="5" t="s">
        <v>68</v>
      </c>
    </row>
    <row r="4" customFormat="false" ht="15" hidden="false" customHeight="false" outlineLevel="0" collapsed="false">
      <c r="A4" s="5" t="s">
        <v>69</v>
      </c>
      <c r="B4" s="5" t="s">
        <v>70</v>
      </c>
      <c r="C4" s="5" t="s">
        <v>55</v>
      </c>
      <c r="D4" s="5" t="s">
        <v>56</v>
      </c>
      <c r="E4" s="5" t="n">
        <v>25</v>
      </c>
      <c r="F4" s="5" t="n">
        <v>120</v>
      </c>
      <c r="G4" s="5" t="n">
        <v>0</v>
      </c>
      <c r="H4" s="5" t="n">
        <v>0</v>
      </c>
      <c r="I4" s="5" t="n">
        <v>8</v>
      </c>
      <c r="J4" s="5" t="n">
        <v>12</v>
      </c>
      <c r="K4" s="5" t="n">
        <v>1</v>
      </c>
      <c r="L4" s="6" t="str">
        <f aca="false">E4&amp;"-"&amp;F4&amp;"-"&amp;G4&amp;"-"&amp;H4&amp;"-"&amp;I4&amp;"-"&amp;J4&amp;"-"&amp;K4</f>
        <v>25-120-0-0-8-12-1</v>
      </c>
      <c r="M4" s="5" t="s">
        <v>57</v>
      </c>
      <c r="N4" s="5" t="s">
        <v>71</v>
      </c>
      <c r="O4" s="7" t="str">
        <f aca="false">IFERROR(INDEX(Vocabulary!$D$2:$D$19,MATCH(N4,Vocabulary!$A$2:$A$19,0)),"")</f>
        <v>Perera</v>
      </c>
      <c r="P4" s="7" t="str">
        <f aca="false">IFERROR(INDEX(Vocabulary!$C$2:$C$19,MATCH(N4,Vocabulary!$A$2:$A$19,0)),"")</f>
        <v>Pear</v>
      </c>
      <c r="Q4" s="5" t="s">
        <v>72</v>
      </c>
      <c r="R4" s="8" t="n">
        <v>2</v>
      </c>
      <c r="S4" s="5" t="s">
        <v>60</v>
      </c>
      <c r="T4" s="5" t="s">
        <v>61</v>
      </c>
      <c r="U4" s="5" t="s">
        <v>62</v>
      </c>
    </row>
    <row r="5" customFormat="false" ht="15" hidden="false" customHeight="false" outlineLevel="0" collapsed="false">
      <c r="A5" s="5" t="s">
        <v>73</v>
      </c>
      <c r="B5" s="5" t="s">
        <v>74</v>
      </c>
      <c r="C5" s="5" t="s">
        <v>55</v>
      </c>
      <c r="D5" s="5" t="s">
        <v>56</v>
      </c>
      <c r="E5" s="5" t="n">
        <v>25</v>
      </c>
      <c r="F5" s="5" t="n">
        <v>233</v>
      </c>
      <c r="G5" s="5" t="n">
        <v>0</v>
      </c>
      <c r="H5" s="5" t="n">
        <v>0</v>
      </c>
      <c r="I5" s="5" t="n">
        <v>3</v>
      </c>
      <c r="J5" s="5" t="n">
        <v>101</v>
      </c>
      <c r="K5" s="5" t="n">
        <v>1</v>
      </c>
      <c r="L5" s="6" t="str">
        <f aca="false">E5&amp;"-"&amp;F5&amp;"-"&amp;G5&amp;"-"&amp;H5&amp;"-"&amp;I5&amp;"-"&amp;J5&amp;"-"&amp;K5</f>
        <v>25-233-0-0-3-101-1</v>
      </c>
      <c r="M5" s="5" t="s">
        <v>75</v>
      </c>
      <c r="N5" s="5" t="s">
        <v>76</v>
      </c>
      <c r="O5" s="7" t="str">
        <f aca="false">IFERROR(INDEX(Vocabulary!$D$2:$D$19,MATCH(N5,Vocabulary!$A$2:$A$19,0)),"")</f>
        <v>Olivera</v>
      </c>
      <c r="P5" s="7" t="str">
        <f aca="false">IFERROR(INDEX(Vocabulary!$C$2:$C$19,MATCH(N5,Vocabulary!$A$2:$A$19,0)),"")</f>
        <v>Olive</v>
      </c>
      <c r="Q5" s="5" t="s">
        <v>77</v>
      </c>
      <c r="R5" s="8" t="n">
        <v>3.5</v>
      </c>
      <c r="S5" s="5" t="s">
        <v>78</v>
      </c>
      <c r="T5" s="5" t="s">
        <v>61</v>
      </c>
      <c r="U5" s="5" t="s">
        <v>62</v>
      </c>
    </row>
    <row r="6" customFormat="false" ht="15" hidden="false" customHeight="false" outlineLevel="0" collapsed="false">
      <c r="A6" s="5" t="s">
        <v>79</v>
      </c>
      <c r="B6" s="5" t="s">
        <v>80</v>
      </c>
      <c r="C6" s="5" t="s">
        <v>55</v>
      </c>
      <c r="D6" s="5" t="s">
        <v>56</v>
      </c>
      <c r="E6" s="5" t="n">
        <v>25</v>
      </c>
      <c r="F6" s="5" t="n">
        <v>233</v>
      </c>
      <c r="G6" s="5" t="n">
        <v>0</v>
      </c>
      <c r="H6" s="5" t="n">
        <v>0</v>
      </c>
      <c r="I6" s="5" t="n">
        <v>3</v>
      </c>
      <c r="J6" s="5" t="n">
        <v>102</v>
      </c>
      <c r="K6" s="5" t="n">
        <v>1</v>
      </c>
      <c r="L6" s="6" t="str">
        <f aca="false">E6&amp;"-"&amp;F6&amp;"-"&amp;G6&amp;"-"&amp;H6&amp;"-"&amp;I6&amp;"-"&amp;J6&amp;"-"&amp;K6</f>
        <v>25-233-0-0-3-102-1</v>
      </c>
      <c r="M6" s="5" t="s">
        <v>81</v>
      </c>
      <c r="N6" s="5" t="s">
        <v>82</v>
      </c>
      <c r="O6" s="7" t="str">
        <f aca="false">IFERROR(INDEX(Vocabulary!$D$2:$D$19,MATCH(N6,Vocabulary!$A$2:$A$19,0)),"")</f>
        <v>Ametller</v>
      </c>
      <c r="P6" s="7" t="str">
        <f aca="false">IFERROR(INDEX(Vocabulary!$C$2:$C$19,MATCH(N6,Vocabulary!$A$2:$A$19,0)),"")</f>
        <v>Almond</v>
      </c>
      <c r="Q6" s="5" t="s">
        <v>83</v>
      </c>
      <c r="R6" s="8" t="n">
        <v>4.2</v>
      </c>
      <c r="S6" s="5" t="s">
        <v>78</v>
      </c>
      <c r="T6" s="5" t="s">
        <v>67</v>
      </c>
      <c r="U6" s="5" t="s">
        <v>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1"/>
    <col collapsed="false" customWidth="true" hidden="false" outlineLevel="0" max="3" min="3" style="0" width="14"/>
    <col collapsed="false" customWidth="true" hidden="false" outlineLevel="0" max="4" min="4" style="0" width="11"/>
    <col collapsed="false" customWidth="true" hidden="false" outlineLevel="0" max="5" min="5" style="0" width="6"/>
    <col collapsed="false" customWidth="true" hidden="false" outlineLevel="0" max="6" min="6" style="0" width="8"/>
    <col collapsed="false" customWidth="true" hidden="false" outlineLevel="0" max="7" min="7" style="0" width="9"/>
    <col collapsed="false" customWidth="true" hidden="false" outlineLevel="0" max="8" min="8" style="0" width="20"/>
    <col collapsed="false" customWidth="true" hidden="false" outlineLevel="0" max="9" min="9" style="0" width="11"/>
    <col collapsed="false" customWidth="true" hidden="false" outlineLevel="0" max="10" min="10" style="0" width="10"/>
    <col collapsed="false" customWidth="true" hidden="false" outlineLevel="0" max="11" min="11" style="0" width="12"/>
    <col collapsed="false" customWidth="true" hidden="false" outlineLevel="0" max="12" min="12" style="0" width="13"/>
    <col collapsed="false" customWidth="true" hidden="false" outlineLevel="0" max="14" min="13" style="0" width="22"/>
    <col collapsed="false" customWidth="true" hidden="false" outlineLevel="0" max="15" min="15" style="0" width="26"/>
    <col collapsed="false" customWidth="true" hidden="false" outlineLevel="0" max="16" min="16" style="0" width="15"/>
    <col collapsed="false" customWidth="true" hidden="false" outlineLevel="0" max="17" min="17" style="0" width="16"/>
    <col collapsed="false" customWidth="true" hidden="false" outlineLevel="0" max="19" min="18" style="0" width="20"/>
    <col collapsed="false" customWidth="true" hidden="false" outlineLevel="0" max="20" min="20" style="0" width="9"/>
    <col collapsed="false" customWidth="true" hidden="false" outlineLevel="0" max="21" min="21" style="0" width="6"/>
    <col collapsed="false" customWidth="true" hidden="false" outlineLevel="0" max="22" min="22" style="0" width="8"/>
    <col collapsed="false" customWidth="true" hidden="false" outlineLevel="0" max="23" min="23" style="0" width="11"/>
    <col collapsed="false" customWidth="true" hidden="false" outlineLevel="0" max="24" min="24" style="0" width="17"/>
    <col collapsed="false" customWidth="true" hidden="false" outlineLevel="0" max="25" min="25" style="0" width="26"/>
    <col collapsed="false" customWidth="true" hidden="false" outlineLevel="0" max="27" min="26" style="0" width="28"/>
    <col collapsed="false" customWidth="true" hidden="false" outlineLevel="0" max="28" min="28" style="0" width="50"/>
    <col collapsed="false" customWidth="true" hidden="false" outlineLevel="0" max="29" min="29" style="0" width="10"/>
    <col collapsed="false" customWidth="true" hidden="false" outlineLevel="0" max="30" min="30" style="0" width="15"/>
    <col collapsed="false" customWidth="true" hidden="false" outlineLevel="0" max="31" min="31" style="0" width="9"/>
    <col collapsed="false" customWidth="true" hidden="false" outlineLevel="0" max="32" min="32" style="0" width="40"/>
    <col collapsed="false" customWidth="true" hidden="false" outlineLevel="0" max="34" min="33" style="0" width="12"/>
  </cols>
  <sheetData>
    <row r="1" customFormat="false" ht="30" hidden="false" customHeight="true" outlineLevel="0" collapsed="false">
      <c r="A1" s="4" t="s">
        <v>84</v>
      </c>
      <c r="B1" s="4" t="s">
        <v>85</v>
      </c>
      <c r="C1" s="4" t="s">
        <v>86</v>
      </c>
      <c r="D1" s="4" t="s">
        <v>87</v>
      </c>
      <c r="E1" s="4" t="s">
        <v>88</v>
      </c>
      <c r="F1" s="4" t="s">
        <v>89</v>
      </c>
      <c r="G1" s="4" t="s">
        <v>32</v>
      </c>
      <c r="H1" s="4" t="s">
        <v>43</v>
      </c>
      <c r="I1" s="4" t="s">
        <v>46</v>
      </c>
      <c r="J1" s="4" t="s">
        <v>47</v>
      </c>
      <c r="K1" s="4" t="s">
        <v>90</v>
      </c>
      <c r="L1" s="4" t="s">
        <v>91</v>
      </c>
      <c r="M1" s="4" t="s">
        <v>92</v>
      </c>
      <c r="N1" s="4" t="s">
        <v>93</v>
      </c>
      <c r="O1" s="4" t="s">
        <v>94</v>
      </c>
      <c r="P1" s="4" t="s">
        <v>95</v>
      </c>
      <c r="Q1" s="4" t="s">
        <v>96</v>
      </c>
      <c r="R1" s="4" t="s">
        <v>97</v>
      </c>
      <c r="S1" s="4" t="s">
        <v>98</v>
      </c>
      <c r="T1" s="4" t="s">
        <v>99</v>
      </c>
      <c r="U1" s="4" t="s">
        <v>100</v>
      </c>
      <c r="V1" s="4" t="s">
        <v>49</v>
      </c>
      <c r="W1" s="4" t="s">
        <v>101</v>
      </c>
      <c r="X1" s="4" t="s">
        <v>102</v>
      </c>
      <c r="Y1" s="4" t="s">
        <v>103</v>
      </c>
      <c r="Z1" s="4" t="s">
        <v>104</v>
      </c>
      <c r="AA1" s="4" t="s">
        <v>105</v>
      </c>
      <c r="AB1" s="4" t="s">
        <v>106</v>
      </c>
      <c r="AC1" s="4" t="s">
        <v>107</v>
      </c>
      <c r="AD1" s="4" t="s">
        <v>108</v>
      </c>
      <c r="AE1" s="4" t="s">
        <v>109</v>
      </c>
      <c r="AF1" s="4" t="s">
        <v>110</v>
      </c>
      <c r="AG1" s="4" t="s">
        <v>111</v>
      </c>
      <c r="AH1" s="4" t="s">
        <v>112</v>
      </c>
    </row>
    <row r="2" customFormat="false" ht="23.85" hidden="false" customHeight="false" outlineLevel="0" collapsed="false">
      <c r="A2" s="9" t="s">
        <v>113</v>
      </c>
      <c r="B2" s="10" t="n">
        <v>46315</v>
      </c>
      <c r="C2" s="9" t="n">
        <v>1001</v>
      </c>
      <c r="D2" s="9" t="s">
        <v>114</v>
      </c>
      <c r="E2" s="9" t="s">
        <v>115</v>
      </c>
      <c r="F2" s="11" t="str">
        <f aca="false">E2</f>
        <v>ca</v>
      </c>
      <c r="G2" s="9" t="s">
        <v>69</v>
      </c>
      <c r="H2" s="12" t="str">
        <f aca="false">IF(G2="","",IFERROR(INDEX(Parcels_DUN!$L$2:$L$100,MATCH(G2,Parcels_DUN!$A$2:$A$100,0)),"UNKNOWN PARCEL"))</f>
        <v>25-120-0-0-8-12-1</v>
      </c>
      <c r="I2" s="12" t="str">
        <f aca="false">IF(G2="","",IFERROR(INDEX(Parcels_DUN!$O$2:$O$100,MATCH(G2,Parcels_DUN!$A$2:$A$100,0)),"UNKNOWN PARCEL"))</f>
        <v>Perera</v>
      </c>
      <c r="J2" s="12" t="str">
        <f aca="false">IF(G2="","",IFERROR(INDEX(Parcels_DUN!$P$2:$P$100,MATCH(G2,Parcels_DUN!$A$2:$A$100,0)),"UNKNOWN PARCEL"))</f>
        <v>Pear</v>
      </c>
      <c r="K2" s="9" t="s">
        <v>116</v>
      </c>
      <c r="L2" s="9" t="s">
        <v>117</v>
      </c>
      <c r="M2" s="12" t="str">
        <f aca="false">IF(L2="","",IFERROR(INDEX(Vocabulary!$D$2:$D$19,MATCH(L2,Vocabulary!$A$2:$A$19,0)),"UNKNOWN"))</f>
        <v>Tractament fitosanitari</v>
      </c>
      <c r="N2" s="12" t="str">
        <f aca="false">IF(L2="","",IFERROR(INDEX(Vocabulary!$C$2:$C$19,MATCH(L2,Vocabulary!$A$2:$A$19,0)),"UNKNOWN"))</f>
        <v>Phytosanitary treatment</v>
      </c>
      <c r="O2" s="9" t="s">
        <v>118</v>
      </c>
      <c r="P2" s="9" t="s">
        <v>119</v>
      </c>
      <c r="Q2" s="9" t="s">
        <v>120</v>
      </c>
      <c r="R2" s="12" t="str">
        <f aca="false">IF(Q2="","",IFERROR(INDEX(Vocabulary!$D$2:$D$19,MATCH(Q2,Vocabulary!$A$2:$A$19,0)),"UNKNOWN"))</f>
        <v>Xancre bacterià</v>
      </c>
      <c r="S2" s="12" t="str">
        <f aca="false">IF(Q2="","",IFERROR(INDEX(Vocabulary!$C$2:$C$19,MATCH(Q2,Vocabulary!$A$2:$A$19,0)),"UNKNOWN"))</f>
        <v>Bacterial canker</v>
      </c>
      <c r="T2" s="9" t="n">
        <v>4</v>
      </c>
      <c r="U2" s="9" t="s">
        <v>121</v>
      </c>
      <c r="V2" s="13" t="n">
        <v>2</v>
      </c>
      <c r="W2" s="14" t="n">
        <f aca="false">IF(AND(ISNUMBER(T2),ISNUMBER(V2)),IF(V2&gt;0,T2/V2,""),"")</f>
        <v>2</v>
      </c>
      <c r="X2" s="9" t="s">
        <v>122</v>
      </c>
      <c r="Y2" s="15" t="s">
        <v>123</v>
      </c>
      <c r="Z2" s="15" t="s">
        <v>124</v>
      </c>
      <c r="AA2" s="15" t="s">
        <v>125</v>
      </c>
      <c r="AB2" s="15" t="s">
        <v>126</v>
      </c>
      <c r="AC2" s="13" t="n">
        <v>0.9</v>
      </c>
      <c r="AD2" s="16" t="s">
        <v>127</v>
      </c>
      <c r="AE2" s="13" t="n">
        <v>0.92</v>
      </c>
      <c r="AF2" s="15" t="s">
        <v>128</v>
      </c>
      <c r="AG2" s="9" t="s">
        <v>129</v>
      </c>
      <c r="AH2" s="16"/>
    </row>
    <row r="3" customFormat="false" ht="15" hidden="false" customHeight="false" outlineLevel="0" collapsed="false">
      <c r="A3" s="9" t="s">
        <v>130</v>
      </c>
      <c r="B3" s="10" t="n">
        <v>46315</v>
      </c>
      <c r="C3" s="9" t="n">
        <v>1001</v>
      </c>
      <c r="D3" s="9" t="s">
        <v>114</v>
      </c>
      <c r="E3" s="9" t="s">
        <v>115</v>
      </c>
      <c r="F3" s="11" t="str">
        <f aca="false">E3</f>
        <v>ca</v>
      </c>
      <c r="G3" s="9" t="s">
        <v>53</v>
      </c>
      <c r="H3" s="12" t="str">
        <f aca="false">IF(G3="","",IFERROR(INDEX(Parcels_DUN!$L$2:$L$100,MATCH(G3,Parcels_DUN!$A$2:$A$100,0)),"UNKNOWN PARCEL"))</f>
        <v>25-120-0-0-7-45-1</v>
      </c>
      <c r="I3" s="12" t="str">
        <f aca="false">IF(G3="","",IFERROR(INDEX(Parcels_DUN!$O$2:$O$100,MATCH(G3,Parcels_DUN!$A$2:$A$100,0)),"UNKNOWN PARCEL"))</f>
        <v>Presseguer</v>
      </c>
      <c r="J3" s="12" t="str">
        <f aca="false">IF(G3="","",IFERROR(INDEX(Parcels_DUN!$P$2:$P$100,MATCH(G3,Parcels_DUN!$A$2:$A$100,0)),"UNKNOWN PARCEL"))</f>
        <v>Peach</v>
      </c>
      <c r="K3" s="9" t="s">
        <v>131</v>
      </c>
      <c r="L3" s="9" t="s">
        <v>132</v>
      </c>
      <c r="M3" s="12" t="str">
        <f aca="false">IF(L3="","",IFERROR(INDEX(Vocabulary!$D$2:$D$19,MATCH(L3,Vocabulary!$A$2:$A$19,0)),"UNKNOWN"))</f>
        <v>Fertilització</v>
      </c>
      <c r="N3" s="12" t="str">
        <f aca="false">IF(L3="","",IFERROR(INDEX(Vocabulary!$C$2:$C$19,MATCH(L3,Vocabulary!$A$2:$A$19,0)),"UNKNOWN"))</f>
        <v>Fertilisation</v>
      </c>
      <c r="O3" s="9" t="s">
        <v>133</v>
      </c>
      <c r="P3" s="9"/>
      <c r="Q3" s="9"/>
      <c r="R3" s="12" t="str">
        <f aca="false">IF(Q3="","",IFERROR(INDEX(Vocabulary!$D$2:$D$19,MATCH(Q3,Vocabulary!$A$2:$A$19,0)),"UNKNOWN"))</f>
        <v/>
      </c>
      <c r="S3" s="12" t="str">
        <f aca="false">IF(Q3="","",IFERROR(INDEX(Vocabulary!$C$2:$C$19,MATCH(Q3,Vocabulary!$A$2:$A$19,0)),"UNKNOWN"))</f>
        <v/>
      </c>
      <c r="T3" s="9" t="n">
        <v>10</v>
      </c>
      <c r="U3" s="9" t="s">
        <v>134</v>
      </c>
      <c r="V3" s="13" t="n">
        <v>2.4</v>
      </c>
      <c r="W3" s="14" t="n">
        <f aca="false">IF(AND(ISNUMBER(T3),ISNUMBER(V3)),IF(V3&gt;0,T3/V3,""),"")</f>
        <v>4.16666666666667</v>
      </c>
      <c r="X3" s="9"/>
      <c r="Y3" s="15"/>
      <c r="Z3" s="15" t="s">
        <v>135</v>
      </c>
      <c r="AA3" s="15" t="s">
        <v>136</v>
      </c>
      <c r="AB3" s="15" t="s">
        <v>137</v>
      </c>
      <c r="AC3" s="13" t="n">
        <v>0.9</v>
      </c>
      <c r="AD3" s="16" t="s">
        <v>127</v>
      </c>
      <c r="AE3" s="13" t="n">
        <v>0.88</v>
      </c>
      <c r="AF3" s="15" t="s">
        <v>138</v>
      </c>
      <c r="AG3" s="9" t="s">
        <v>129</v>
      </c>
      <c r="AH3" s="16" t="s">
        <v>129</v>
      </c>
    </row>
    <row r="4" customFormat="false" ht="23.85" hidden="false" customHeight="false" outlineLevel="0" collapsed="false">
      <c r="A4" s="9" t="s">
        <v>139</v>
      </c>
      <c r="B4" s="10" t="n">
        <v>46316</v>
      </c>
      <c r="C4" s="9" t="n">
        <v>1002</v>
      </c>
      <c r="D4" s="9" t="s">
        <v>140</v>
      </c>
      <c r="E4" s="9" t="s">
        <v>141</v>
      </c>
      <c r="F4" s="11" t="str">
        <f aca="false">E4</f>
        <v>es</v>
      </c>
      <c r="G4" s="9" t="s">
        <v>73</v>
      </c>
      <c r="H4" s="12" t="str">
        <f aca="false">IF(G4="","",IFERROR(INDEX(Parcels_DUN!$L$2:$L$100,MATCH(G4,Parcels_DUN!$A$2:$A$100,0)),"UNKNOWN PARCEL"))</f>
        <v>25-233-0-0-3-101-1</v>
      </c>
      <c r="I4" s="12" t="str">
        <f aca="false">IF(G4="","",IFERROR(INDEX(Parcels_DUN!$O$2:$O$100,MATCH(G4,Parcels_DUN!$A$2:$A$100,0)),"UNKNOWN PARCEL"))</f>
        <v>Olivera</v>
      </c>
      <c r="J4" s="12" t="str">
        <f aca="false">IF(G4="","",IFERROR(INDEX(Parcels_DUN!$P$2:$P$100,MATCH(G4,Parcels_DUN!$A$2:$A$100,0)),"UNKNOWN PARCEL"))</f>
        <v>Olive</v>
      </c>
      <c r="K4" s="9" t="s">
        <v>142</v>
      </c>
      <c r="L4" s="9" t="s">
        <v>143</v>
      </c>
      <c r="M4" s="12" t="str">
        <f aca="false">IF(L4="","",IFERROR(INDEX(Vocabulary!$D$2:$D$19,MATCH(L4,Vocabulary!$A$2:$A$19,0)),"UNKNOWN"))</f>
        <v>Collita</v>
      </c>
      <c r="N4" s="12" t="str">
        <f aca="false">IF(L4="","",IFERROR(INDEX(Vocabulary!$C$2:$C$19,MATCH(L4,Vocabulary!$A$2:$A$19,0)),"UNKNOWN"))</f>
        <v>Harvest</v>
      </c>
      <c r="O4" s="9"/>
      <c r="P4" s="9"/>
      <c r="Q4" s="9"/>
      <c r="R4" s="12" t="str">
        <f aca="false">IF(Q4="","",IFERROR(INDEX(Vocabulary!$D$2:$D$19,MATCH(Q4,Vocabulary!$A$2:$A$19,0)),"UNKNOWN"))</f>
        <v/>
      </c>
      <c r="S4" s="12" t="str">
        <f aca="false">IF(Q4="","",IFERROR(INDEX(Vocabulary!$C$2:$C$19,MATCH(Q4,Vocabulary!$A$2:$A$19,0)),"UNKNOWN"))</f>
        <v/>
      </c>
      <c r="T4" s="9" t="n">
        <v>6500</v>
      </c>
      <c r="U4" s="9" t="s">
        <v>121</v>
      </c>
      <c r="V4" s="13" t="n">
        <v>3.5</v>
      </c>
      <c r="W4" s="14" t="n">
        <f aca="false">IF(AND(ISNUMBER(T4),ISNUMBER(V4)),IF(V4&gt;0,T4/V4,""),"")</f>
        <v>1857.14285714286</v>
      </c>
      <c r="X4" s="9"/>
      <c r="Y4" s="15"/>
      <c r="Z4" s="15" t="s">
        <v>144</v>
      </c>
      <c r="AA4" s="15" t="s">
        <v>145</v>
      </c>
      <c r="AB4" s="15" t="s">
        <v>146</v>
      </c>
      <c r="AC4" s="13" t="n">
        <v>0.9</v>
      </c>
      <c r="AD4" s="16" t="s">
        <v>127</v>
      </c>
      <c r="AE4" s="13" t="n">
        <v>0.9</v>
      </c>
      <c r="AF4" s="15" t="s">
        <v>147</v>
      </c>
      <c r="AG4" s="9" t="s">
        <v>129</v>
      </c>
      <c r="AH4" s="16"/>
    </row>
    <row r="5" customFormat="false" ht="23.85" hidden="false" customHeight="false" outlineLevel="0" collapsed="false">
      <c r="A5" s="9" t="s">
        <v>148</v>
      </c>
      <c r="B5" s="10" t="n">
        <v>46316</v>
      </c>
      <c r="C5" s="9" t="n">
        <v>1002</v>
      </c>
      <c r="D5" s="9" t="s">
        <v>140</v>
      </c>
      <c r="E5" s="9" t="s">
        <v>141</v>
      </c>
      <c r="F5" s="11" t="str">
        <f aca="false">E5</f>
        <v>es</v>
      </c>
      <c r="G5" s="9" t="s">
        <v>79</v>
      </c>
      <c r="H5" s="12" t="str">
        <f aca="false">IF(G5="","",IFERROR(INDEX(Parcels_DUN!$L$2:$L$100,MATCH(G5,Parcels_DUN!$A$2:$A$100,0)),"UNKNOWN PARCEL"))</f>
        <v>25-233-0-0-3-102-1</v>
      </c>
      <c r="I5" s="12" t="str">
        <f aca="false">IF(G5="","",IFERROR(INDEX(Parcels_DUN!$O$2:$O$100,MATCH(G5,Parcels_DUN!$A$2:$A$100,0)),"UNKNOWN PARCEL"))</f>
        <v>Ametller</v>
      </c>
      <c r="J5" s="12" t="str">
        <f aca="false">IF(G5="","",IFERROR(INDEX(Parcels_DUN!$P$2:$P$100,MATCH(G5,Parcels_DUN!$A$2:$A$100,0)),"UNKNOWN PARCEL"))</f>
        <v>Almond</v>
      </c>
      <c r="K5" s="9" t="s">
        <v>149</v>
      </c>
      <c r="L5" s="9" t="s">
        <v>117</v>
      </c>
      <c r="M5" s="12" t="str">
        <f aca="false">IF(L5="","",IFERROR(INDEX(Vocabulary!$D$2:$D$19,MATCH(L5,Vocabulary!$A$2:$A$19,0)),"UNKNOWN"))</f>
        <v>Tractament fitosanitari</v>
      </c>
      <c r="N5" s="12" t="str">
        <f aca="false">IF(L5="","",IFERROR(INDEX(Vocabulary!$C$2:$C$19,MATCH(L5,Vocabulary!$A$2:$A$19,0)),"UNKNOWN"))</f>
        <v>Phytosanitary treatment</v>
      </c>
      <c r="O5" s="9" t="s">
        <v>118</v>
      </c>
      <c r="P5" s="9" t="s">
        <v>119</v>
      </c>
      <c r="Q5" s="9" t="s">
        <v>150</v>
      </c>
      <c r="R5" s="12" t="str">
        <f aca="false">IF(Q5="","",IFERROR(INDEX(Vocabulary!$D$2:$D$19,MATCH(Q5,Vocabulary!$A$2:$A$19,0)),"UNKNOWN"))</f>
        <v>Malalties fúngiques</v>
      </c>
      <c r="S5" s="12" t="str">
        <f aca="false">IF(Q5="","",IFERROR(INDEX(Vocabulary!$C$2:$C$19,MATCH(Q5,Vocabulary!$A$2:$A$19,0)),"UNKNOWN"))</f>
        <v>Fungal diseases (general)</v>
      </c>
      <c r="T5" s="9" t="n">
        <v>14</v>
      </c>
      <c r="U5" s="9" t="s">
        <v>121</v>
      </c>
      <c r="V5" s="13" t="n">
        <v>4.2</v>
      </c>
      <c r="W5" s="14" t="n">
        <f aca="false">IF(AND(ISNUMBER(T5),ISNUMBER(V5)),IF(V5&gt;0,T5/V5,""),"")</f>
        <v>3.33333333333333</v>
      </c>
      <c r="X5" s="9" t="s">
        <v>151</v>
      </c>
      <c r="Y5" s="15" t="s">
        <v>152</v>
      </c>
      <c r="Z5" s="15" t="s">
        <v>153</v>
      </c>
      <c r="AA5" s="15" t="s">
        <v>154</v>
      </c>
      <c r="AB5" s="15" t="s">
        <v>155</v>
      </c>
      <c r="AC5" s="13" t="n">
        <v>0.6</v>
      </c>
      <c r="AD5" s="16" t="s">
        <v>156</v>
      </c>
      <c r="AE5" s="13" t="n">
        <v>0.41</v>
      </c>
      <c r="AF5" s="15" t="s">
        <v>157</v>
      </c>
      <c r="AG5" s="9" t="s">
        <v>129</v>
      </c>
      <c r="AH5" s="16" t="s">
        <v>158</v>
      </c>
    </row>
    <row r="6" customFormat="false" ht="15" hidden="false" customHeight="false" outlineLevel="0" collapsed="false">
      <c r="A6" s="9" t="s">
        <v>159</v>
      </c>
      <c r="B6" s="10" t="n">
        <v>46317</v>
      </c>
      <c r="C6" s="9" t="n">
        <v>1003</v>
      </c>
      <c r="D6" s="9" t="s">
        <v>160</v>
      </c>
      <c r="E6" s="9" t="s">
        <v>161</v>
      </c>
      <c r="F6" s="11" t="str">
        <f aca="false">E6</f>
        <v>en</v>
      </c>
      <c r="G6" s="9" t="s">
        <v>63</v>
      </c>
      <c r="H6" s="12" t="str">
        <f aca="false">IF(G6="","",IFERROR(INDEX(Parcels_DUN!$L$2:$L$100,MATCH(G6,Parcels_DUN!$A$2:$A$100,0)),"UNKNOWN PARCEL"))</f>
        <v>25-120-0-0-7-46-2</v>
      </c>
      <c r="I6" s="12" t="str">
        <f aca="false">IF(G6="","",IFERROR(INDEX(Parcels_DUN!$O$2:$O$100,MATCH(G6,Parcels_DUN!$A$2:$A$100,0)),"UNKNOWN PARCEL"))</f>
        <v>Pomera</v>
      </c>
      <c r="J6" s="12" t="str">
        <f aca="false">IF(G6="","",IFERROR(INDEX(Parcels_DUN!$P$2:$P$100,MATCH(G6,Parcels_DUN!$A$2:$A$100,0)),"UNKNOWN PARCEL"))</f>
        <v>Apple</v>
      </c>
      <c r="K6" s="9" t="s">
        <v>162</v>
      </c>
      <c r="L6" s="9" t="s">
        <v>50</v>
      </c>
      <c r="M6" s="12" t="str">
        <f aca="false">IF(L6="","",IFERROR(INDEX(Vocabulary!$D$2:$D$19,MATCH(L6,Vocabulary!$A$2:$A$19,0)),"UNKNOWN"))</f>
        <v>Reg</v>
      </c>
      <c r="N6" s="12" t="str">
        <f aca="false">IF(L6="","",IFERROR(INDEX(Vocabulary!$C$2:$C$19,MATCH(L6,Vocabulary!$A$2:$A$19,0)),"UNKNOWN"))</f>
        <v>Irrigation</v>
      </c>
      <c r="O6" s="9"/>
      <c r="P6" s="9"/>
      <c r="Q6" s="9"/>
      <c r="R6" s="12" t="str">
        <f aca="false">IF(Q6="","",IFERROR(INDEX(Vocabulary!$D$2:$D$19,MATCH(Q6,Vocabulary!$A$2:$A$19,0)),"UNKNOWN"))</f>
        <v/>
      </c>
      <c r="S6" s="12" t="str">
        <f aca="false">IF(Q6="","",IFERROR(INDEX(Vocabulary!$C$2:$C$19,MATCH(Q6,Vocabulary!$A$2:$A$19,0)),"UNKNOWN"))</f>
        <v/>
      </c>
      <c r="T6" s="9" t="n">
        <v>120</v>
      </c>
      <c r="U6" s="9" t="s">
        <v>163</v>
      </c>
      <c r="V6" s="13" t="n">
        <v>1.8</v>
      </c>
      <c r="W6" s="14" t="n">
        <f aca="false">IF(AND(ISNUMBER(T6),ISNUMBER(V6)),IF(V6&gt;0,T6/V6,""),"")</f>
        <v>66.6666666666667</v>
      </c>
      <c r="X6" s="9"/>
      <c r="Y6" s="15"/>
      <c r="Z6" s="15" t="s">
        <v>164</v>
      </c>
      <c r="AA6" s="15" t="s">
        <v>165</v>
      </c>
      <c r="AB6" s="15" t="s">
        <v>166</v>
      </c>
      <c r="AC6" s="13" t="n">
        <v>0.9</v>
      </c>
      <c r="AD6" s="16" t="s">
        <v>127</v>
      </c>
      <c r="AE6" s="13" t="n">
        <v>0.86</v>
      </c>
      <c r="AF6" s="15" t="s">
        <v>167</v>
      </c>
      <c r="AG6" s="9" t="s">
        <v>129</v>
      </c>
      <c r="AH6" s="16"/>
    </row>
    <row r="7" customFormat="false" ht="15" hidden="false" customHeight="false" outlineLevel="0" collapsed="false">
      <c r="A7" s="9" t="s">
        <v>168</v>
      </c>
      <c r="B7" s="10" t="n">
        <v>46317</v>
      </c>
      <c r="C7" s="9" t="n">
        <v>1001</v>
      </c>
      <c r="D7" s="9" t="s">
        <v>114</v>
      </c>
      <c r="E7" s="9" t="s">
        <v>115</v>
      </c>
      <c r="F7" s="11" t="str">
        <f aca="false">E7</f>
        <v>ca</v>
      </c>
      <c r="G7" s="9" t="s">
        <v>69</v>
      </c>
      <c r="H7" s="12" t="str">
        <f aca="false">IF(G7="","",IFERROR(INDEX(Parcels_DUN!$L$2:$L$100,MATCH(G7,Parcels_DUN!$A$2:$A$100,0)),"UNKNOWN PARCEL"))</f>
        <v>25-120-0-0-8-12-1</v>
      </c>
      <c r="I7" s="12" t="str">
        <f aca="false">IF(G7="","",IFERROR(INDEX(Parcels_DUN!$O$2:$O$100,MATCH(G7,Parcels_DUN!$A$2:$A$100,0)),"UNKNOWN PARCEL"))</f>
        <v>Perera</v>
      </c>
      <c r="J7" s="12" t="str">
        <f aca="false">IF(G7="","",IFERROR(INDEX(Parcels_DUN!$P$2:$P$100,MATCH(G7,Parcels_DUN!$A$2:$A$100,0)),"UNKNOWN PARCEL"))</f>
        <v>Pear</v>
      </c>
      <c r="K7" s="9" t="s">
        <v>116</v>
      </c>
      <c r="L7" s="9" t="s">
        <v>169</v>
      </c>
      <c r="M7" s="12" t="str">
        <f aca="false">IF(L7="","",IFERROR(INDEX(Vocabulary!$D$2:$D$19,MATCH(L7,Vocabulary!$A$2:$A$19,0)),"UNKNOWN"))</f>
        <v>Labors culturals</v>
      </c>
      <c r="N7" s="12" t="str">
        <f aca="false">IF(L7="","",IFERROR(INDEX(Vocabulary!$C$2:$C$19,MATCH(L7,Vocabulary!$A$2:$A$19,0)),"UNKNOWN"))</f>
        <v>Cultural work</v>
      </c>
      <c r="O7" s="9"/>
      <c r="P7" s="9"/>
      <c r="Q7" s="9"/>
      <c r="R7" s="12" t="str">
        <f aca="false">IF(Q7="","",IFERROR(INDEX(Vocabulary!$D$2:$D$19,MATCH(Q7,Vocabulary!$A$2:$A$19,0)),"UNKNOWN"))</f>
        <v/>
      </c>
      <c r="S7" s="12" t="str">
        <f aca="false">IF(Q7="","",IFERROR(INDEX(Vocabulary!$C$2:$C$19,MATCH(Q7,Vocabulary!$A$2:$A$19,0)),"UNKNOWN"))</f>
        <v/>
      </c>
      <c r="T7" s="9"/>
      <c r="U7" s="9"/>
      <c r="V7" s="13" t="n">
        <v>2</v>
      </c>
      <c r="W7" s="14" t="str">
        <f aca="false">IF(AND(ISNUMBER(T7),ISNUMBER(V7)),IF(V7&gt;0,T7/V7,""),"")</f>
        <v/>
      </c>
      <c r="X7" s="9"/>
      <c r="Y7" s="15"/>
      <c r="Z7" s="15" t="s">
        <v>170</v>
      </c>
      <c r="AA7" s="15" t="s">
        <v>171</v>
      </c>
      <c r="AB7" s="15" t="s">
        <v>172</v>
      </c>
      <c r="AC7" s="13" t="n">
        <v>0.9</v>
      </c>
      <c r="AD7" s="16" t="s">
        <v>173</v>
      </c>
      <c r="AE7" s="13"/>
      <c r="AF7" s="15"/>
      <c r="AG7" s="9" t="s">
        <v>129</v>
      </c>
      <c r="AH7" s="16"/>
    </row>
    <row r="8" customFormat="false" ht="23.85" hidden="false" customHeight="false" outlineLevel="0" collapsed="false">
      <c r="A8" s="9" t="s">
        <v>174</v>
      </c>
      <c r="B8" s="10" t="n">
        <v>46318</v>
      </c>
      <c r="C8" s="9" t="n">
        <v>1002</v>
      </c>
      <c r="D8" s="9" t="s">
        <v>140</v>
      </c>
      <c r="E8" s="9" t="s">
        <v>141</v>
      </c>
      <c r="F8" s="11" t="str">
        <f aca="false">E8</f>
        <v>es</v>
      </c>
      <c r="G8" s="9" t="s">
        <v>53</v>
      </c>
      <c r="H8" s="12" t="str">
        <f aca="false">IF(G8="","",IFERROR(INDEX(Parcels_DUN!$L$2:$L$100,MATCH(G8,Parcels_DUN!$A$2:$A$100,0)),"UNKNOWN PARCEL"))</f>
        <v>25-120-0-0-7-45-1</v>
      </c>
      <c r="I8" s="12" t="str">
        <f aca="false">IF(G8="","",IFERROR(INDEX(Parcels_DUN!$O$2:$O$100,MATCH(G8,Parcels_DUN!$A$2:$A$100,0)),"UNKNOWN PARCEL"))</f>
        <v>Presseguer</v>
      </c>
      <c r="J8" s="12" t="str">
        <f aca="false">IF(G8="","",IFERROR(INDEX(Parcels_DUN!$P$2:$P$100,MATCH(G8,Parcels_DUN!$A$2:$A$100,0)),"UNKNOWN PARCEL"))</f>
        <v>Peach</v>
      </c>
      <c r="K8" s="9" t="s">
        <v>175</v>
      </c>
      <c r="L8" s="9" t="s">
        <v>117</v>
      </c>
      <c r="M8" s="12" t="str">
        <f aca="false">IF(L8="","",IFERROR(INDEX(Vocabulary!$D$2:$D$19,MATCH(L8,Vocabulary!$A$2:$A$19,0)),"UNKNOWN"))</f>
        <v>Tractament fitosanitari</v>
      </c>
      <c r="N8" s="12" t="str">
        <f aca="false">IF(L8="","",IFERROR(INDEX(Vocabulary!$C$2:$C$19,MATCH(L8,Vocabulary!$A$2:$A$19,0)),"UNKNOWN"))</f>
        <v>Phytosanitary treatment</v>
      </c>
      <c r="O8" s="9" t="s">
        <v>176</v>
      </c>
      <c r="P8" s="9" t="s">
        <v>119</v>
      </c>
      <c r="Q8" s="9" t="s">
        <v>177</v>
      </c>
      <c r="R8" s="12" t="str">
        <f aca="false">IF(Q8="","",IFERROR(INDEX(Vocabulary!$D$2:$D$19,MATCH(Q8,Vocabulary!$A$2:$A$19,0)),"UNKNOWN"))</f>
        <v>Oïdi</v>
      </c>
      <c r="S8" s="12" t="str">
        <f aca="false">IF(Q8="","",IFERROR(INDEX(Vocabulary!$C$2:$C$19,MATCH(Q8,Vocabulary!$A$2:$A$19,0)),"UNKNOWN"))</f>
        <v>Powdery mildew</v>
      </c>
      <c r="T8" s="9" t="n">
        <v>3</v>
      </c>
      <c r="U8" s="9" t="s">
        <v>121</v>
      </c>
      <c r="V8" s="13" t="n">
        <v>2.4</v>
      </c>
      <c r="W8" s="14" t="n">
        <f aca="false">IF(AND(ISNUMBER(T8),ISNUMBER(V8)),IF(V8&gt;0,T8/V8,""),"")</f>
        <v>1.25</v>
      </c>
      <c r="X8" s="9" t="s">
        <v>151</v>
      </c>
      <c r="Y8" s="15" t="s">
        <v>152</v>
      </c>
      <c r="Z8" s="15" t="s">
        <v>178</v>
      </c>
      <c r="AA8" s="15" t="s">
        <v>179</v>
      </c>
      <c r="AB8" s="15" t="s">
        <v>180</v>
      </c>
      <c r="AC8" s="13" t="n">
        <v>0.9</v>
      </c>
      <c r="AD8" s="16" t="s">
        <v>181</v>
      </c>
      <c r="AE8" s="13" t="n">
        <v>0.55</v>
      </c>
      <c r="AF8" s="15" t="s">
        <v>182</v>
      </c>
      <c r="AG8" s="9" t="s">
        <v>129</v>
      </c>
      <c r="AH8" s="16"/>
    </row>
    <row r="9" customFormat="false" ht="35.05" hidden="false" customHeight="false" outlineLevel="0" collapsed="false">
      <c r="A9" s="9" t="s">
        <v>183</v>
      </c>
      <c r="B9" s="10" t="n">
        <v>46318</v>
      </c>
      <c r="C9" s="9" t="n">
        <v>1004</v>
      </c>
      <c r="D9" s="9" t="s">
        <v>184</v>
      </c>
      <c r="E9" s="9" t="s">
        <v>185</v>
      </c>
      <c r="F9" s="11" t="str">
        <f aca="false">E9</f>
        <v>ru</v>
      </c>
      <c r="G9" s="9" t="s">
        <v>63</v>
      </c>
      <c r="H9" s="12" t="str">
        <f aca="false">IF(G9="","",IFERROR(INDEX(Parcels_DUN!$L$2:$L$100,MATCH(G9,Parcels_DUN!$A$2:$A$100,0)),"UNKNOWN PARCEL"))</f>
        <v>25-120-0-0-7-46-2</v>
      </c>
      <c r="I9" s="12" t="str">
        <f aca="false">IF(G9="","",IFERROR(INDEX(Parcels_DUN!$O$2:$O$100,MATCH(G9,Parcels_DUN!$A$2:$A$100,0)),"UNKNOWN PARCEL"))</f>
        <v>Pomera</v>
      </c>
      <c r="J9" s="12" t="str">
        <f aca="false">IF(G9="","",IFERROR(INDEX(Parcels_DUN!$P$2:$P$100,MATCH(G9,Parcels_DUN!$A$2:$A$100,0)),"UNKNOWN PARCEL"))</f>
        <v>Apple</v>
      </c>
      <c r="K9" s="9" t="s">
        <v>186</v>
      </c>
      <c r="L9" s="9" t="s">
        <v>132</v>
      </c>
      <c r="M9" s="12" t="str">
        <f aca="false">IF(L9="","",IFERROR(INDEX(Vocabulary!$D$2:$D$19,MATCH(L9,Vocabulary!$A$2:$A$19,0)),"UNKNOWN"))</f>
        <v>Fertilització</v>
      </c>
      <c r="N9" s="12" t="str">
        <f aca="false">IF(L9="","",IFERROR(INDEX(Vocabulary!$C$2:$C$19,MATCH(L9,Vocabulary!$A$2:$A$19,0)),"UNKNOWN"))</f>
        <v>Fertilisation</v>
      </c>
      <c r="O9" s="9" t="s">
        <v>187</v>
      </c>
      <c r="P9" s="9"/>
      <c r="Q9" s="9"/>
      <c r="R9" s="12" t="str">
        <f aca="false">IF(Q9="","",IFERROR(INDEX(Vocabulary!$D$2:$D$19,MATCH(Q9,Vocabulary!$A$2:$A$19,0)),"UNKNOWN"))</f>
        <v/>
      </c>
      <c r="S9" s="12" t="str">
        <f aca="false">IF(Q9="","",IFERROR(INDEX(Vocabulary!$C$2:$C$19,MATCH(Q9,Vocabulary!$A$2:$A$19,0)),"UNKNOWN"))</f>
        <v/>
      </c>
      <c r="T9" s="9" t="n">
        <v>150</v>
      </c>
      <c r="U9" s="9" t="s">
        <v>121</v>
      </c>
      <c r="V9" s="13" t="n">
        <v>1.8</v>
      </c>
      <c r="W9" s="14" t="n">
        <f aca="false">IF(AND(ISNUMBER(T9),ISNUMBER(V9)),IF(V9&gt;0,T9/V9,""),"")</f>
        <v>83.3333333333333</v>
      </c>
      <c r="X9" s="9"/>
      <c r="Y9" s="15"/>
      <c r="Z9" s="15" t="s">
        <v>188</v>
      </c>
      <c r="AA9" s="15" t="s">
        <v>189</v>
      </c>
      <c r="AB9" s="15" t="s">
        <v>190</v>
      </c>
      <c r="AC9" s="13" t="n">
        <v>0.9</v>
      </c>
      <c r="AD9" s="16" t="s">
        <v>127</v>
      </c>
      <c r="AE9" s="13" t="n">
        <v>0.87</v>
      </c>
      <c r="AF9" s="15" t="s">
        <v>191</v>
      </c>
      <c r="AG9" s="9" t="s">
        <v>129</v>
      </c>
      <c r="AH9" s="16"/>
    </row>
    <row r="10" customFormat="false" ht="35.05" hidden="false" customHeight="false" outlineLevel="0" collapsed="false">
      <c r="A10" s="9" t="s">
        <v>192</v>
      </c>
      <c r="B10" s="10" t="n">
        <v>46319</v>
      </c>
      <c r="C10" s="9" t="n">
        <v>1004</v>
      </c>
      <c r="D10" s="9" t="s">
        <v>184</v>
      </c>
      <c r="E10" s="9" t="s">
        <v>185</v>
      </c>
      <c r="F10" s="11" t="str">
        <f aca="false">E10</f>
        <v>ru</v>
      </c>
      <c r="G10" s="9" t="s">
        <v>69</v>
      </c>
      <c r="H10" s="12" t="str">
        <f aca="false">IF(G10="","",IFERROR(INDEX(Parcels_DUN!$L$2:$L$100,MATCH(G10,Parcels_DUN!$A$2:$A$100,0)),"UNKNOWN PARCEL"))</f>
        <v>25-120-0-0-8-12-1</v>
      </c>
      <c r="I10" s="12" t="str">
        <f aca="false">IF(G10="","",IFERROR(INDEX(Parcels_DUN!$O$2:$O$100,MATCH(G10,Parcels_DUN!$A$2:$A$100,0)),"UNKNOWN PARCEL"))</f>
        <v>Perera</v>
      </c>
      <c r="J10" s="12" t="str">
        <f aca="false">IF(G10="","",IFERROR(INDEX(Parcels_DUN!$P$2:$P$100,MATCH(G10,Parcels_DUN!$A$2:$A$100,0)),"UNKNOWN PARCEL"))</f>
        <v>Pear</v>
      </c>
      <c r="K10" s="9" t="s">
        <v>193</v>
      </c>
      <c r="L10" s="9" t="s">
        <v>117</v>
      </c>
      <c r="M10" s="12" t="str">
        <f aca="false">IF(L10="","",IFERROR(INDEX(Vocabulary!$D$2:$D$19,MATCH(L10,Vocabulary!$A$2:$A$19,0)),"UNKNOWN"))</f>
        <v>Tractament fitosanitari</v>
      </c>
      <c r="N10" s="12" t="str">
        <f aca="false">IF(L10="","",IFERROR(INDEX(Vocabulary!$C$2:$C$19,MATCH(L10,Vocabulary!$A$2:$A$19,0)),"UNKNOWN"))</f>
        <v>Phytosanitary treatment</v>
      </c>
      <c r="O10" s="9" t="s">
        <v>118</v>
      </c>
      <c r="P10" s="9" t="s">
        <v>119</v>
      </c>
      <c r="Q10" s="9" t="s">
        <v>194</v>
      </c>
      <c r="R10" s="12" t="str">
        <f aca="false">IF(Q10="","",IFERROR(INDEX(Vocabulary!$D$2:$D$19,MATCH(Q10,Vocabulary!$A$2:$A$19,0)),"UNKNOWN"))</f>
        <v>DESCONEGUT — revisar</v>
      </c>
      <c r="S10" s="12" t="str">
        <f aca="false">IF(Q10="","",IFERROR(INDEX(Vocabulary!$C$2:$C$19,MATCH(Q10,Vocabulary!$A$2:$A$19,0)),"UNKNOWN"))</f>
        <v>UNKNOWN — review</v>
      </c>
      <c r="T10" s="9" t="n">
        <v>4</v>
      </c>
      <c r="U10" s="9" t="s">
        <v>121</v>
      </c>
      <c r="V10" s="13" t="n">
        <v>2</v>
      </c>
      <c r="W10" s="14" t="n">
        <f aca="false">IF(AND(ISNUMBER(T10),ISNUMBER(V10)),IF(V10&gt;0,T10/V10,""),"")</f>
        <v>2</v>
      </c>
      <c r="X10" s="9" t="s">
        <v>195</v>
      </c>
      <c r="Y10" s="15" t="s">
        <v>123</v>
      </c>
      <c r="Z10" s="15" t="s">
        <v>196</v>
      </c>
      <c r="AA10" s="15" t="s">
        <v>197</v>
      </c>
      <c r="AB10" s="15" t="s">
        <v>198</v>
      </c>
      <c r="AC10" s="13" t="n">
        <v>0.7</v>
      </c>
      <c r="AD10" s="16" t="s">
        <v>181</v>
      </c>
      <c r="AE10" s="13" t="n">
        <v>0.62</v>
      </c>
      <c r="AF10" s="15" t="s">
        <v>199</v>
      </c>
      <c r="AG10" s="9" t="s">
        <v>129</v>
      </c>
      <c r="AH10" s="16"/>
    </row>
    <row r="11" customFormat="false" ht="15" hidden="false" customHeight="false" outlineLevel="0" collapsed="false">
      <c r="A11" s="9" t="s">
        <v>200</v>
      </c>
      <c r="B11" s="10" t="n">
        <v>46319</v>
      </c>
      <c r="C11" s="9" t="n">
        <v>1003</v>
      </c>
      <c r="D11" s="9" t="s">
        <v>160</v>
      </c>
      <c r="E11" s="9" t="s">
        <v>161</v>
      </c>
      <c r="F11" s="11" t="str">
        <f aca="false">E11</f>
        <v>en</v>
      </c>
      <c r="G11" s="9"/>
      <c r="H11" s="12" t="str">
        <f aca="false">IF(G11="","",IFERROR(INDEX(Parcels_DUN!$L$2:$L$100,MATCH(G11,Parcels_DUN!$A$2:$A$100,0)),"UNKNOWN PARCEL"))</f>
        <v/>
      </c>
      <c r="I11" s="12" t="str">
        <f aca="false">IF(G11="","",IFERROR(INDEX(Parcels_DUN!$O$2:$O$100,MATCH(G11,Parcels_DUN!$A$2:$A$100,0)),"UNKNOWN PARCEL"))</f>
        <v/>
      </c>
      <c r="J11" s="12" t="str">
        <f aca="false">IF(G11="","",IFERROR(INDEX(Parcels_DUN!$P$2:$P$100,MATCH(G11,Parcels_DUN!$A$2:$A$100,0)),"UNKNOWN PARCEL"))</f>
        <v/>
      </c>
      <c r="K11" s="9"/>
      <c r="L11" s="9" t="s">
        <v>201</v>
      </c>
      <c r="M11" s="12" t="str">
        <f aca="false">IF(L11="","",IFERROR(INDEX(Vocabulary!$D$2:$D$19,MATCH(L11,Vocabulary!$A$2:$A$19,0)),"UNKNOWN"))</f>
        <v>Altres</v>
      </c>
      <c r="N11" s="12" t="str">
        <f aca="false">IF(L11="","",IFERROR(INDEX(Vocabulary!$C$2:$C$19,MATCH(L11,Vocabulary!$A$2:$A$19,0)),"UNKNOWN"))</f>
        <v>Other</v>
      </c>
      <c r="O11" s="9"/>
      <c r="P11" s="9"/>
      <c r="Q11" s="9"/>
      <c r="R11" s="12" t="str">
        <f aca="false">IF(Q11="","",IFERROR(INDEX(Vocabulary!$D$2:$D$19,MATCH(Q11,Vocabulary!$A$2:$A$19,0)),"UNKNOWN"))</f>
        <v/>
      </c>
      <c r="S11" s="12" t="str">
        <f aca="false">IF(Q11="","",IFERROR(INDEX(Vocabulary!$C$2:$C$19,MATCH(Q11,Vocabulary!$A$2:$A$19,0)),"UNKNOWN"))</f>
        <v/>
      </c>
      <c r="T11" s="9"/>
      <c r="U11" s="9"/>
      <c r="V11" s="13"/>
      <c r="W11" s="14" t="str">
        <f aca="false">IF(AND(ISNUMBER(T11),ISNUMBER(V11)),IF(V11&gt;0,T11/V11,""),"")</f>
        <v/>
      </c>
      <c r="X11" s="9"/>
      <c r="Y11" s="15"/>
      <c r="Z11" s="15" t="s">
        <v>202</v>
      </c>
      <c r="AA11" s="15" t="s">
        <v>203</v>
      </c>
      <c r="AB11" s="15" t="s">
        <v>204</v>
      </c>
      <c r="AC11" s="13" t="n">
        <v>0.3</v>
      </c>
      <c r="AD11" s="16" t="s">
        <v>205</v>
      </c>
      <c r="AE11" s="13"/>
      <c r="AF11" s="15" t="s">
        <v>206</v>
      </c>
      <c r="AG11" s="9"/>
      <c r="AH11" s="16"/>
    </row>
  </sheetData>
  <autoFilter ref="A1:AH11"/>
  <dataValidations count="3">
    <dataValidation allowBlank="true" errorStyle="stop" operator="between" showDropDown="false" showErrorMessage="false" showInputMessage="false" sqref="AD2:AD500" type="list">
      <formula1>"draft,farmer_confirmed,auto_approved,needs_review,validated,corrected,discarded"</formula1>
      <formula2>0</formula2>
    </dataValidation>
    <dataValidation allowBlank="true" errorStyle="stop" operator="between" showDropDown="false" showErrorMessage="false" showInputMessage="false" sqref="L2:L500" type="list">
      <formula1>"treatment,fertilization,irrigation,harvest,labour,sowing,other"</formula1>
      <formula2>0</formula2>
    </dataValidation>
    <dataValidation allowBlank="true" errorStyle="stop" operator="between" showDropDown="false" showErrorMessage="false" showInputMessage="false" sqref="E2:E500" type="list">
      <formula1>"en,ru,ca,es"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4" min="2" style="0" width="14"/>
    <col collapsed="false" customWidth="true" hidden="false" outlineLevel="0" max="5" min="5" style="0" width="60"/>
    <col collapsed="false" customWidth="true" hidden="false" outlineLevel="0" max="6" min="6" style="0" width="11"/>
    <col collapsed="false" customWidth="true" hidden="false" outlineLevel="0" max="7" min="7" style="0" width="13"/>
    <col collapsed="false" customWidth="true" hidden="false" outlineLevel="0" max="8" min="8" style="0" width="17"/>
    <col collapsed="false" customWidth="true" hidden="false" outlineLevel="0" max="9" min="9" style="0" width="13"/>
  </cols>
  <sheetData>
    <row r="1" customFormat="false" ht="30" hidden="false" customHeight="true" outlineLevel="0" collapsed="false">
      <c r="A1" s="4" t="s">
        <v>84</v>
      </c>
      <c r="B1" s="4" t="s">
        <v>207</v>
      </c>
      <c r="C1" s="4" t="s">
        <v>208</v>
      </c>
      <c r="D1" s="4" t="s">
        <v>209</v>
      </c>
      <c r="E1" s="4" t="s">
        <v>210</v>
      </c>
      <c r="F1" s="4" t="s">
        <v>211</v>
      </c>
      <c r="G1" s="4" t="s">
        <v>112</v>
      </c>
      <c r="H1" s="4" t="s">
        <v>212</v>
      </c>
      <c r="I1" s="4" t="s">
        <v>213</v>
      </c>
    </row>
    <row r="2" customFormat="false" ht="15" hidden="false" customHeight="false" outlineLevel="0" collapsed="false">
      <c r="A2" s="16" t="s">
        <v>130</v>
      </c>
      <c r="B2" s="16" t="s">
        <v>100</v>
      </c>
      <c r="C2" s="16" t="s">
        <v>121</v>
      </c>
      <c r="D2" s="16" t="s">
        <v>134</v>
      </c>
      <c r="E2" s="17" t="s">
        <v>214</v>
      </c>
      <c r="F2" s="16" t="s">
        <v>161</v>
      </c>
      <c r="G2" s="16" t="s">
        <v>129</v>
      </c>
      <c r="H2" s="18" t="n">
        <v>46315.7583333333</v>
      </c>
      <c r="I2" s="16" t="s">
        <v>62</v>
      </c>
    </row>
    <row r="3" customFormat="false" ht="23.85" hidden="false" customHeight="false" outlineLevel="0" collapsed="false">
      <c r="A3" s="16" t="s">
        <v>148</v>
      </c>
      <c r="B3" s="16" t="s">
        <v>99</v>
      </c>
      <c r="C3" s="16" t="n">
        <v>40</v>
      </c>
      <c r="D3" s="16" t="n">
        <v>14</v>
      </c>
      <c r="E3" s="17" t="s">
        <v>215</v>
      </c>
      <c r="F3" s="16" t="s">
        <v>161</v>
      </c>
      <c r="G3" s="16" t="s">
        <v>158</v>
      </c>
      <c r="H3" s="18" t="n">
        <v>46316.8194444445</v>
      </c>
      <c r="I3" s="16" t="s">
        <v>62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0"/>
    <col collapsed="false" customWidth="true" hidden="false" outlineLevel="0" max="3" min="3" style="0" width="22"/>
    <col collapsed="false" customWidth="true" hidden="false" outlineLevel="0" max="4" min="4" style="0" width="26"/>
    <col collapsed="false" customWidth="true" hidden="false" outlineLevel="0" max="6" min="5" style="0" width="24"/>
  </cols>
  <sheetData>
    <row r="1" customFormat="false" ht="30" hidden="false" customHeight="true" outlineLevel="0" collapsed="false">
      <c r="A1" s="4" t="s">
        <v>216</v>
      </c>
      <c r="B1" s="4" t="s">
        <v>217</v>
      </c>
      <c r="C1" s="4" t="s">
        <v>161</v>
      </c>
      <c r="D1" s="4" t="s">
        <v>115</v>
      </c>
      <c r="E1" s="4" t="s">
        <v>141</v>
      </c>
      <c r="F1" s="4" t="s">
        <v>185</v>
      </c>
    </row>
    <row r="2" customFormat="false" ht="15" hidden="false" customHeight="false" outlineLevel="0" collapsed="false">
      <c r="A2" s="5" t="s">
        <v>117</v>
      </c>
      <c r="B2" s="5" t="s">
        <v>218</v>
      </c>
      <c r="C2" s="5" t="s">
        <v>219</v>
      </c>
      <c r="D2" s="5" t="s">
        <v>220</v>
      </c>
      <c r="E2" s="5" t="s">
        <v>221</v>
      </c>
      <c r="F2" s="5" t="s">
        <v>222</v>
      </c>
    </row>
    <row r="3" customFormat="false" ht="15" hidden="false" customHeight="false" outlineLevel="0" collapsed="false">
      <c r="A3" s="5" t="s">
        <v>132</v>
      </c>
      <c r="B3" s="5" t="s">
        <v>218</v>
      </c>
      <c r="C3" s="5" t="s">
        <v>223</v>
      </c>
      <c r="D3" s="5" t="s">
        <v>224</v>
      </c>
      <c r="E3" s="5" t="s">
        <v>225</v>
      </c>
      <c r="F3" s="5" t="s">
        <v>226</v>
      </c>
    </row>
    <row r="4" customFormat="false" ht="15" hidden="false" customHeight="false" outlineLevel="0" collapsed="false">
      <c r="A4" s="5" t="s">
        <v>50</v>
      </c>
      <c r="B4" s="5" t="s">
        <v>218</v>
      </c>
      <c r="C4" s="5" t="s">
        <v>227</v>
      </c>
      <c r="D4" s="5" t="s">
        <v>228</v>
      </c>
      <c r="E4" s="5" t="s">
        <v>229</v>
      </c>
      <c r="F4" s="5" t="s">
        <v>230</v>
      </c>
    </row>
    <row r="5" customFormat="false" ht="15" hidden="false" customHeight="false" outlineLevel="0" collapsed="false">
      <c r="A5" s="5" t="s">
        <v>143</v>
      </c>
      <c r="B5" s="5" t="s">
        <v>218</v>
      </c>
      <c r="C5" s="5" t="s">
        <v>231</v>
      </c>
      <c r="D5" s="5" t="s">
        <v>232</v>
      </c>
      <c r="E5" s="5" t="s">
        <v>233</v>
      </c>
      <c r="F5" s="5" t="s">
        <v>234</v>
      </c>
    </row>
    <row r="6" customFormat="false" ht="15" hidden="false" customHeight="false" outlineLevel="0" collapsed="false">
      <c r="A6" s="5" t="s">
        <v>169</v>
      </c>
      <c r="B6" s="5" t="s">
        <v>218</v>
      </c>
      <c r="C6" s="5" t="s">
        <v>235</v>
      </c>
      <c r="D6" s="5" t="s">
        <v>236</v>
      </c>
      <c r="E6" s="5" t="s">
        <v>237</v>
      </c>
      <c r="F6" s="5" t="s">
        <v>238</v>
      </c>
    </row>
    <row r="7" customFormat="false" ht="15" hidden="false" customHeight="false" outlineLevel="0" collapsed="false">
      <c r="A7" s="5" t="s">
        <v>239</v>
      </c>
      <c r="B7" s="5" t="s">
        <v>218</v>
      </c>
      <c r="C7" s="5" t="s">
        <v>240</v>
      </c>
      <c r="D7" s="5" t="s">
        <v>241</v>
      </c>
      <c r="E7" s="5" t="s">
        <v>242</v>
      </c>
      <c r="F7" s="5" t="s">
        <v>243</v>
      </c>
    </row>
    <row r="8" customFormat="false" ht="15" hidden="false" customHeight="false" outlineLevel="0" collapsed="false">
      <c r="A8" s="5" t="s">
        <v>201</v>
      </c>
      <c r="B8" s="5" t="s">
        <v>218</v>
      </c>
      <c r="C8" s="5" t="s">
        <v>244</v>
      </c>
      <c r="D8" s="5" t="s">
        <v>245</v>
      </c>
      <c r="E8" s="5" t="s">
        <v>246</v>
      </c>
      <c r="F8" s="5" t="s">
        <v>247</v>
      </c>
    </row>
    <row r="9" customFormat="false" ht="15" hidden="false" customHeight="false" outlineLevel="0" collapsed="false">
      <c r="A9" s="5" t="s">
        <v>58</v>
      </c>
      <c r="B9" s="5" t="s">
        <v>248</v>
      </c>
      <c r="C9" s="5" t="s">
        <v>249</v>
      </c>
      <c r="D9" s="5" t="s">
        <v>250</v>
      </c>
      <c r="E9" s="5" t="s">
        <v>251</v>
      </c>
      <c r="F9" s="5" t="s">
        <v>252</v>
      </c>
    </row>
    <row r="10" customFormat="false" ht="15" hidden="false" customHeight="false" outlineLevel="0" collapsed="false">
      <c r="A10" s="5" t="s">
        <v>65</v>
      </c>
      <c r="B10" s="5" t="s">
        <v>248</v>
      </c>
      <c r="C10" s="5" t="s">
        <v>253</v>
      </c>
      <c r="D10" s="5" t="s">
        <v>254</v>
      </c>
      <c r="E10" s="5" t="s">
        <v>255</v>
      </c>
      <c r="F10" s="5" t="s">
        <v>256</v>
      </c>
    </row>
    <row r="11" customFormat="false" ht="15" hidden="false" customHeight="false" outlineLevel="0" collapsed="false">
      <c r="A11" s="5" t="s">
        <v>71</v>
      </c>
      <c r="B11" s="5" t="s">
        <v>248</v>
      </c>
      <c r="C11" s="5" t="s">
        <v>257</v>
      </c>
      <c r="D11" s="5" t="s">
        <v>258</v>
      </c>
      <c r="E11" s="5" t="s">
        <v>259</v>
      </c>
      <c r="F11" s="5" t="s">
        <v>260</v>
      </c>
    </row>
    <row r="12" customFormat="false" ht="15" hidden="false" customHeight="false" outlineLevel="0" collapsed="false">
      <c r="A12" s="5" t="s">
        <v>76</v>
      </c>
      <c r="B12" s="5" t="s">
        <v>248</v>
      </c>
      <c r="C12" s="5" t="s">
        <v>261</v>
      </c>
      <c r="D12" s="5" t="s">
        <v>262</v>
      </c>
      <c r="E12" s="5" t="s">
        <v>263</v>
      </c>
      <c r="F12" s="5" t="s">
        <v>264</v>
      </c>
    </row>
    <row r="13" customFormat="false" ht="15" hidden="false" customHeight="false" outlineLevel="0" collapsed="false">
      <c r="A13" s="5" t="s">
        <v>82</v>
      </c>
      <c r="B13" s="5" t="s">
        <v>248</v>
      </c>
      <c r="C13" s="5" t="s">
        <v>265</v>
      </c>
      <c r="D13" s="5" t="s">
        <v>266</v>
      </c>
      <c r="E13" s="5" t="s">
        <v>267</v>
      </c>
      <c r="F13" s="5" t="s">
        <v>268</v>
      </c>
    </row>
    <row r="14" customFormat="false" ht="15" hidden="false" customHeight="false" outlineLevel="0" collapsed="false">
      <c r="A14" s="5" t="s">
        <v>120</v>
      </c>
      <c r="B14" s="5" t="s">
        <v>269</v>
      </c>
      <c r="C14" s="5" t="s">
        <v>270</v>
      </c>
      <c r="D14" s="5" t="s">
        <v>271</v>
      </c>
      <c r="E14" s="5" t="s">
        <v>272</v>
      </c>
      <c r="F14" s="5" t="s">
        <v>273</v>
      </c>
    </row>
    <row r="15" customFormat="false" ht="15" hidden="false" customHeight="false" outlineLevel="0" collapsed="false">
      <c r="A15" s="5" t="s">
        <v>177</v>
      </c>
      <c r="B15" s="5" t="s">
        <v>269</v>
      </c>
      <c r="C15" s="5" t="s">
        <v>274</v>
      </c>
      <c r="D15" s="5" t="s">
        <v>275</v>
      </c>
      <c r="E15" s="5" t="s">
        <v>276</v>
      </c>
      <c r="F15" s="5" t="s">
        <v>277</v>
      </c>
    </row>
    <row r="16" customFormat="false" ht="15" hidden="false" customHeight="false" outlineLevel="0" collapsed="false">
      <c r="A16" s="5" t="s">
        <v>278</v>
      </c>
      <c r="B16" s="5" t="s">
        <v>269</v>
      </c>
      <c r="C16" s="5" t="s">
        <v>279</v>
      </c>
      <c r="D16" s="5" t="s">
        <v>280</v>
      </c>
      <c r="E16" s="5" t="s">
        <v>281</v>
      </c>
      <c r="F16" s="5" t="s">
        <v>282</v>
      </c>
    </row>
    <row r="17" customFormat="false" ht="15" hidden="false" customHeight="false" outlineLevel="0" collapsed="false">
      <c r="A17" s="5" t="s">
        <v>150</v>
      </c>
      <c r="B17" s="5" t="s">
        <v>269</v>
      </c>
      <c r="C17" s="5" t="s">
        <v>283</v>
      </c>
      <c r="D17" s="5" t="s">
        <v>284</v>
      </c>
      <c r="E17" s="5" t="s">
        <v>285</v>
      </c>
      <c r="F17" s="5" t="s">
        <v>286</v>
      </c>
    </row>
    <row r="18" customFormat="false" ht="15" hidden="false" customHeight="false" outlineLevel="0" collapsed="false">
      <c r="A18" s="5" t="s">
        <v>287</v>
      </c>
      <c r="B18" s="5" t="s">
        <v>269</v>
      </c>
      <c r="C18" s="5"/>
      <c r="D18" s="5"/>
      <c r="E18" s="5"/>
      <c r="F18" s="5"/>
    </row>
    <row r="19" customFormat="false" ht="15" hidden="false" customHeight="false" outlineLevel="0" collapsed="false">
      <c r="A19" s="5" t="s">
        <v>194</v>
      </c>
      <c r="B19" s="5" t="s">
        <v>288</v>
      </c>
      <c r="C19" s="5" t="s">
        <v>289</v>
      </c>
      <c r="D19" s="5" t="s">
        <v>290</v>
      </c>
      <c r="E19" s="5" t="s">
        <v>291</v>
      </c>
      <c r="F19" s="5" t="s">
        <v>292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5" min="2" style="0" width="36"/>
  </cols>
  <sheetData>
    <row r="1" customFormat="false" ht="30" hidden="false" customHeight="true" outlineLevel="0" collapsed="false">
      <c r="A1" s="4" t="s">
        <v>216</v>
      </c>
      <c r="B1" s="4" t="s">
        <v>161</v>
      </c>
      <c r="C1" s="4" t="s">
        <v>115</v>
      </c>
      <c r="D1" s="4" t="s">
        <v>141</v>
      </c>
      <c r="E1" s="4" t="s">
        <v>185</v>
      </c>
    </row>
    <row r="2" customFormat="false" ht="15" hidden="false" customHeight="false" outlineLevel="0" collapsed="false">
      <c r="A2" s="15" t="s">
        <v>293</v>
      </c>
      <c r="B2" s="15" t="s">
        <v>294</v>
      </c>
      <c r="C2" s="15" t="s">
        <v>295</v>
      </c>
      <c r="D2" s="15" t="s">
        <v>296</v>
      </c>
      <c r="E2" s="15" t="s">
        <v>297</v>
      </c>
    </row>
    <row r="3" customFormat="false" ht="15" hidden="false" customHeight="false" outlineLevel="0" collapsed="false">
      <c r="A3" s="15" t="s">
        <v>85</v>
      </c>
      <c r="B3" s="15" t="s">
        <v>298</v>
      </c>
      <c r="C3" s="15" t="s">
        <v>299</v>
      </c>
      <c r="D3" s="15" t="s">
        <v>300</v>
      </c>
      <c r="E3" s="15" t="s">
        <v>301</v>
      </c>
    </row>
    <row r="4" customFormat="false" ht="15" hidden="false" customHeight="false" outlineLevel="0" collapsed="false">
      <c r="A4" s="15" t="s">
        <v>302</v>
      </c>
      <c r="B4" s="15" t="s">
        <v>303</v>
      </c>
      <c r="C4" s="15" t="s">
        <v>304</v>
      </c>
      <c r="D4" s="15" t="s">
        <v>305</v>
      </c>
      <c r="E4" s="15" t="s">
        <v>306</v>
      </c>
    </row>
    <row r="5" customFormat="false" ht="15" hidden="false" customHeight="false" outlineLevel="0" collapsed="false">
      <c r="A5" s="15" t="s">
        <v>248</v>
      </c>
      <c r="B5" s="15" t="s">
        <v>307</v>
      </c>
      <c r="C5" s="15" t="s">
        <v>308</v>
      </c>
      <c r="D5" s="15" t="s">
        <v>309</v>
      </c>
      <c r="E5" s="15" t="s">
        <v>310</v>
      </c>
    </row>
    <row r="6" customFormat="false" ht="15" hidden="false" customHeight="false" outlineLevel="0" collapsed="false">
      <c r="A6" s="15" t="s">
        <v>218</v>
      </c>
      <c r="B6" s="15" t="s">
        <v>311</v>
      </c>
      <c r="C6" s="15" t="s">
        <v>312</v>
      </c>
      <c r="D6" s="15" t="s">
        <v>313</v>
      </c>
      <c r="E6" s="15" t="s">
        <v>314</v>
      </c>
    </row>
    <row r="7" customFormat="false" ht="15" hidden="false" customHeight="false" outlineLevel="0" collapsed="false">
      <c r="A7" s="15" t="s">
        <v>94</v>
      </c>
      <c r="B7" s="15" t="s">
        <v>315</v>
      </c>
      <c r="C7" s="15" t="s">
        <v>316</v>
      </c>
      <c r="D7" s="15" t="s">
        <v>317</v>
      </c>
      <c r="E7" s="15" t="s">
        <v>318</v>
      </c>
    </row>
    <row r="8" customFormat="false" ht="15" hidden="false" customHeight="false" outlineLevel="0" collapsed="false">
      <c r="A8" s="15" t="s">
        <v>319</v>
      </c>
      <c r="B8" s="15" t="s">
        <v>320</v>
      </c>
      <c r="C8" s="15" t="s">
        <v>321</v>
      </c>
      <c r="D8" s="15" t="s">
        <v>322</v>
      </c>
      <c r="E8" s="15" t="s">
        <v>323</v>
      </c>
    </row>
    <row r="9" customFormat="false" ht="15" hidden="false" customHeight="false" outlineLevel="0" collapsed="false">
      <c r="A9" s="15" t="s">
        <v>324</v>
      </c>
      <c r="B9" s="15" t="s">
        <v>325</v>
      </c>
      <c r="C9" s="15" t="s">
        <v>326</v>
      </c>
      <c r="D9" s="15" t="s">
        <v>327</v>
      </c>
      <c r="E9" s="15" t="s">
        <v>328</v>
      </c>
    </row>
    <row r="10" customFormat="false" ht="15" hidden="false" customHeight="false" outlineLevel="0" collapsed="false">
      <c r="A10" s="15" t="s">
        <v>329</v>
      </c>
      <c r="B10" s="15" t="s">
        <v>330</v>
      </c>
      <c r="C10" s="15" t="s">
        <v>331</v>
      </c>
      <c r="D10" s="15" t="s">
        <v>331</v>
      </c>
      <c r="E10" s="15" t="s">
        <v>332</v>
      </c>
    </row>
    <row r="11" customFormat="false" ht="15" hidden="false" customHeight="false" outlineLevel="0" collapsed="false">
      <c r="A11" s="15" t="s">
        <v>333</v>
      </c>
      <c r="B11" s="15" t="s">
        <v>334</v>
      </c>
      <c r="C11" s="15" t="s">
        <v>335</v>
      </c>
      <c r="D11" s="15" t="s">
        <v>335</v>
      </c>
      <c r="E11" s="15" t="s">
        <v>336</v>
      </c>
    </row>
    <row r="12" customFormat="false" ht="15" hidden="false" customHeight="false" outlineLevel="0" collapsed="false">
      <c r="A12" s="15" t="s">
        <v>337</v>
      </c>
      <c r="B12" s="15" t="s">
        <v>338</v>
      </c>
      <c r="C12" s="15" t="s">
        <v>339</v>
      </c>
      <c r="D12" s="15" t="s">
        <v>340</v>
      </c>
      <c r="E12" s="15" t="s">
        <v>341</v>
      </c>
    </row>
    <row r="13" customFormat="false" ht="15" hidden="false" customHeight="false" outlineLevel="0" collapsed="false">
      <c r="A13" s="15" t="s">
        <v>342</v>
      </c>
      <c r="B13" s="15" t="s">
        <v>343</v>
      </c>
      <c r="C13" s="15" t="s">
        <v>344</v>
      </c>
      <c r="D13" s="15" t="s">
        <v>345</v>
      </c>
      <c r="E13" s="15" t="s">
        <v>346</v>
      </c>
    </row>
    <row r="14" customFormat="false" ht="15" hidden="false" customHeight="false" outlineLevel="0" collapsed="false">
      <c r="A14" s="15" t="s">
        <v>347</v>
      </c>
      <c r="B14" s="15" t="s">
        <v>348</v>
      </c>
      <c r="C14" s="15" t="s">
        <v>349</v>
      </c>
      <c r="D14" s="15" t="s">
        <v>350</v>
      </c>
      <c r="E14" s="15" t="s">
        <v>351</v>
      </c>
    </row>
    <row r="15" customFormat="false" ht="15" hidden="false" customHeight="false" outlineLevel="0" collapsed="false">
      <c r="A15" s="15" t="s">
        <v>352</v>
      </c>
      <c r="B15" s="15" t="s">
        <v>353</v>
      </c>
      <c r="C15" s="15" t="s">
        <v>354</v>
      </c>
      <c r="D15" s="15" t="s">
        <v>355</v>
      </c>
      <c r="E15" s="15" t="s">
        <v>356</v>
      </c>
    </row>
    <row r="16" customFormat="false" ht="23.85" hidden="false" customHeight="false" outlineLevel="0" collapsed="false">
      <c r="A16" s="15" t="s">
        <v>357</v>
      </c>
      <c r="B16" s="15" t="s">
        <v>358</v>
      </c>
      <c r="C16" s="15" t="s">
        <v>359</v>
      </c>
      <c r="D16" s="15" t="s">
        <v>360</v>
      </c>
      <c r="E16" s="15" t="s">
        <v>361</v>
      </c>
    </row>
    <row r="17" customFormat="false" ht="15" hidden="false" customHeight="false" outlineLevel="0" collapsed="false">
      <c r="A17" s="15" t="s">
        <v>99</v>
      </c>
      <c r="B17" s="15" t="s">
        <v>362</v>
      </c>
      <c r="C17" s="15" t="s">
        <v>363</v>
      </c>
      <c r="D17" s="15" t="s">
        <v>364</v>
      </c>
      <c r="E17" s="15" t="s">
        <v>365</v>
      </c>
    </row>
    <row r="18" customFormat="false" ht="15" hidden="false" customHeight="false" outlineLevel="0" collapsed="false">
      <c r="A18" s="15" t="s">
        <v>366</v>
      </c>
      <c r="B18" s="15" t="s">
        <v>367</v>
      </c>
      <c r="C18" s="15" t="s">
        <v>368</v>
      </c>
      <c r="D18" s="15" t="s">
        <v>369</v>
      </c>
      <c r="E18" s="15" t="s">
        <v>370</v>
      </c>
    </row>
    <row r="19" customFormat="false" ht="15" hidden="false" customHeight="false" outlineLevel="0" collapsed="false">
      <c r="A19" s="15" t="s">
        <v>269</v>
      </c>
      <c r="B19" s="15" t="s">
        <v>371</v>
      </c>
      <c r="C19" s="15" t="s">
        <v>372</v>
      </c>
      <c r="D19" s="15" t="s">
        <v>373</v>
      </c>
      <c r="E19" s="15" t="s">
        <v>374</v>
      </c>
    </row>
    <row r="20" customFormat="false" ht="23.85" hidden="false" customHeight="false" outlineLevel="0" collapsed="false">
      <c r="A20" s="15" t="s">
        <v>375</v>
      </c>
      <c r="B20" s="15" t="s">
        <v>376</v>
      </c>
      <c r="C20" s="15" t="s">
        <v>377</v>
      </c>
      <c r="D20" s="15" t="s">
        <v>378</v>
      </c>
      <c r="E20" s="15" t="s">
        <v>379</v>
      </c>
    </row>
    <row r="21" customFormat="false" ht="15" hidden="false" customHeight="false" outlineLevel="0" collapsed="false">
      <c r="A21" s="15" t="s">
        <v>380</v>
      </c>
      <c r="B21" s="15" t="s">
        <v>381</v>
      </c>
      <c r="C21" s="15" t="s">
        <v>382</v>
      </c>
      <c r="D21" s="15" t="s">
        <v>383</v>
      </c>
      <c r="E21" s="15" t="s">
        <v>384</v>
      </c>
    </row>
    <row r="22" customFormat="false" ht="15" hidden="false" customHeight="false" outlineLevel="0" collapsed="false">
      <c r="A22" s="15" t="s">
        <v>385</v>
      </c>
      <c r="B22" s="15" t="s">
        <v>386</v>
      </c>
      <c r="C22" s="15" t="s">
        <v>387</v>
      </c>
      <c r="D22" s="15" t="s">
        <v>388</v>
      </c>
      <c r="E22" s="15" t="s">
        <v>389</v>
      </c>
    </row>
    <row r="23" customFormat="false" ht="15" hidden="false" customHeight="false" outlineLevel="0" collapsed="false">
      <c r="A23" s="15" t="s">
        <v>390</v>
      </c>
      <c r="B23" s="15" t="s">
        <v>391</v>
      </c>
      <c r="C23" s="15" t="s">
        <v>392</v>
      </c>
      <c r="D23" s="15" t="s">
        <v>393</v>
      </c>
      <c r="E23" s="15" t="s">
        <v>394</v>
      </c>
    </row>
    <row r="24" customFormat="false" ht="15" hidden="false" customHeight="false" outlineLevel="0" collapsed="false">
      <c r="A24" s="15" t="s">
        <v>395</v>
      </c>
      <c r="B24" s="15" t="s">
        <v>396</v>
      </c>
      <c r="C24" s="15" t="s">
        <v>397</v>
      </c>
      <c r="D24" s="15" t="s">
        <v>398</v>
      </c>
      <c r="E24" s="15" t="s">
        <v>399</v>
      </c>
    </row>
    <row r="25" customFormat="false" ht="15" hidden="false" customHeight="false" outlineLevel="0" collapsed="false">
      <c r="A25" s="15" t="s">
        <v>400</v>
      </c>
      <c r="B25" s="15" t="s">
        <v>401</v>
      </c>
      <c r="C25" s="15" t="s">
        <v>402</v>
      </c>
      <c r="D25" s="15" t="s">
        <v>403</v>
      </c>
      <c r="E25" s="15" t="s">
        <v>404</v>
      </c>
    </row>
    <row r="26" customFormat="false" ht="35.05" hidden="false" customHeight="false" outlineLevel="0" collapsed="false">
      <c r="A26" s="15" t="s">
        <v>405</v>
      </c>
      <c r="B26" s="15" t="s">
        <v>406</v>
      </c>
      <c r="C26" s="15" t="s">
        <v>407</v>
      </c>
      <c r="D26" s="15" t="s">
        <v>408</v>
      </c>
      <c r="E26" s="15" t="s">
        <v>409</v>
      </c>
    </row>
    <row r="27" customFormat="false" ht="15" hidden="false" customHeight="false" outlineLevel="0" collapsed="false">
      <c r="A27" s="15" t="s">
        <v>205</v>
      </c>
      <c r="B27" s="15" t="s">
        <v>410</v>
      </c>
      <c r="C27" s="15" t="s">
        <v>411</v>
      </c>
      <c r="D27" s="15" t="s">
        <v>412</v>
      </c>
      <c r="E27" s="15" t="s">
        <v>413</v>
      </c>
    </row>
    <row r="28" customFormat="false" ht="23.85" hidden="false" customHeight="false" outlineLevel="0" collapsed="false">
      <c r="A28" s="15" t="s">
        <v>414</v>
      </c>
      <c r="B28" s="15" t="s">
        <v>415</v>
      </c>
      <c r="C28" s="15" t="s">
        <v>416</v>
      </c>
      <c r="D28" s="15" t="s">
        <v>417</v>
      </c>
      <c r="E28" s="15" t="s">
        <v>418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2026-10-24T11:51:04Z</dcterms:created>
  <dc:creator>openpyxl</dc:creator>
  <dc:description/>
  <dc:language>en-US</dc:language>
  <cp:lastModifiedBy/>
  <dcterms:modified xsi:type="dcterms:W3CDTF">2026-10-24T11:51:04Z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